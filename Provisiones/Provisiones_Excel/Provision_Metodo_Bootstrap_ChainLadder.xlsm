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Chain-Ladder" sheetId="2" r:id="rId1"/>
    <sheet name="BootStrap" sheetId="3" r:id="rId2"/>
  </sheets>
  <calcPr calcId="152511"/>
</workbook>
</file>

<file path=xl/calcChain.xml><?xml version="1.0" encoding="utf-8"?>
<calcChain xmlns="http://schemas.openxmlformats.org/spreadsheetml/2006/main">
  <c r="J32" i="3" l="1"/>
  <c r="I32" i="3"/>
  <c r="H32" i="3"/>
  <c r="J31" i="3"/>
  <c r="I31" i="3"/>
  <c r="H31" i="3"/>
  <c r="J30" i="3"/>
  <c r="I30" i="3"/>
  <c r="H30" i="3"/>
  <c r="J29" i="3"/>
  <c r="I29" i="3"/>
  <c r="H29" i="3"/>
  <c r="J28" i="3"/>
  <c r="I28" i="3"/>
  <c r="H28" i="3"/>
  <c r="J27" i="3"/>
  <c r="I27" i="3"/>
  <c r="H27" i="3"/>
  <c r="J26" i="3"/>
  <c r="I26" i="3"/>
  <c r="H26" i="3"/>
  <c r="J25" i="3"/>
  <c r="I25" i="3"/>
  <c r="H25" i="3"/>
  <c r="J24" i="3"/>
  <c r="I24" i="3"/>
  <c r="H24" i="3"/>
  <c r="J23" i="3"/>
  <c r="I23" i="3"/>
  <c r="J22" i="3"/>
  <c r="I22" i="3"/>
  <c r="H23" i="3"/>
  <c r="H22" i="3"/>
  <c r="J17" i="3"/>
  <c r="J16" i="3"/>
  <c r="J15" i="3"/>
  <c r="J14" i="3"/>
  <c r="J13" i="3"/>
  <c r="J12" i="3"/>
  <c r="J11" i="3"/>
  <c r="J10" i="3"/>
  <c r="J9" i="3"/>
  <c r="J8" i="3"/>
  <c r="J7" i="3"/>
  <c r="I17" i="3"/>
  <c r="I16" i="3"/>
  <c r="I15" i="3"/>
  <c r="I14" i="3"/>
  <c r="I13" i="3"/>
  <c r="I12" i="3"/>
  <c r="I11" i="3"/>
  <c r="I10" i="3"/>
  <c r="I9" i="3"/>
  <c r="I8" i="3"/>
  <c r="I7" i="3"/>
  <c r="H14" i="3"/>
  <c r="H12" i="3"/>
  <c r="G26" i="3"/>
  <c r="G23" i="3"/>
  <c r="H17" i="3"/>
  <c r="H16" i="3"/>
  <c r="H15" i="3"/>
  <c r="H13" i="3"/>
  <c r="G12" i="3"/>
  <c r="H11" i="3"/>
  <c r="H10" i="3"/>
  <c r="H9" i="3"/>
  <c r="H8" i="3"/>
  <c r="H7" i="3"/>
  <c r="G32" i="3"/>
  <c r="G31" i="3"/>
  <c r="G30" i="3"/>
  <c r="G29" i="3"/>
  <c r="G28" i="3"/>
  <c r="G27" i="3"/>
  <c r="G25" i="3"/>
  <c r="G24" i="3"/>
  <c r="G22" i="3"/>
  <c r="G17" i="3"/>
  <c r="G16" i="3"/>
  <c r="G15" i="3"/>
  <c r="G14" i="3"/>
  <c r="G13" i="3"/>
  <c r="G11" i="3"/>
  <c r="G10" i="3"/>
  <c r="G9" i="3"/>
  <c r="G8" i="3"/>
  <c r="G7" i="3"/>
  <c r="C23" i="3"/>
  <c r="C24" i="3"/>
  <c r="C25" i="3"/>
  <c r="C26" i="3"/>
  <c r="C27" i="3"/>
  <c r="C28" i="3"/>
  <c r="C29" i="3"/>
  <c r="C30" i="3"/>
  <c r="C31" i="3"/>
  <c r="C22" i="3"/>
  <c r="C8" i="3"/>
  <c r="C9" i="3"/>
  <c r="C10" i="3"/>
  <c r="C11" i="3"/>
  <c r="C12" i="3"/>
  <c r="C13" i="3"/>
  <c r="C14" i="3"/>
  <c r="C15" i="3"/>
  <c r="C16" i="3"/>
  <c r="C7" i="3"/>
  <c r="L110" i="2"/>
  <c r="Q47" i="2"/>
  <c r="P47" i="2"/>
  <c r="Q37" i="2"/>
  <c r="Q46" i="2"/>
  <c r="Q45" i="2"/>
  <c r="Q44" i="2"/>
  <c r="Q43" i="2"/>
  <c r="Q42" i="2"/>
  <c r="Q41" i="2"/>
  <c r="Q40" i="2"/>
  <c r="Q39" i="2"/>
  <c r="Q38" i="2"/>
  <c r="C17" i="3" l="1"/>
  <c r="L20" i="2"/>
  <c r="P120" i="2"/>
  <c r="P118" i="2"/>
  <c r="P119" i="2"/>
  <c r="P115" i="2"/>
  <c r="P116" i="2"/>
  <c r="P117" i="2"/>
  <c r="P111" i="2"/>
  <c r="P112" i="2"/>
  <c r="P113" i="2"/>
  <c r="P114" i="2"/>
  <c r="P106" i="2"/>
  <c r="P107" i="2"/>
  <c r="P108" i="2"/>
  <c r="P109" i="2"/>
  <c r="P110" i="2"/>
  <c r="P100" i="2"/>
  <c r="P101" i="2"/>
  <c r="P102" i="2"/>
  <c r="P103" i="2"/>
  <c r="P104" i="2"/>
  <c r="P105" i="2"/>
  <c r="P93" i="2"/>
  <c r="P94" i="2"/>
  <c r="P95" i="2"/>
  <c r="P96" i="2"/>
  <c r="P97" i="2"/>
  <c r="P98" i="2"/>
  <c r="P99" i="2"/>
  <c r="P92" i="2"/>
  <c r="P85" i="2"/>
  <c r="P86" i="2"/>
  <c r="P87" i="2"/>
  <c r="P88" i="2"/>
  <c r="P89" i="2"/>
  <c r="P90" i="2"/>
  <c r="P91" i="2"/>
  <c r="P76" i="2"/>
  <c r="P77" i="2"/>
  <c r="P78" i="2"/>
  <c r="P79" i="2"/>
  <c r="P80" i="2"/>
  <c r="P81" i="2"/>
  <c r="P82" i="2"/>
  <c r="P83" i="2"/>
  <c r="P84" i="2"/>
  <c r="P67" i="2"/>
  <c r="P68" i="2"/>
  <c r="P69" i="2"/>
  <c r="P70" i="2"/>
  <c r="P71" i="2"/>
  <c r="P72" i="2"/>
  <c r="P73" i="2"/>
  <c r="P74" i="2"/>
  <c r="P75" i="2"/>
  <c r="P66" i="2"/>
  <c r="O57" i="2"/>
  <c r="C34" i="2"/>
  <c r="C62" i="2" s="1"/>
  <c r="O75" i="2" s="1"/>
  <c r="D33" i="2"/>
  <c r="E32" i="2"/>
  <c r="F31" i="2"/>
  <c r="G30" i="2"/>
  <c r="H29" i="2"/>
  <c r="I28" i="2"/>
  <c r="H28" i="2" s="1"/>
  <c r="J27" i="2"/>
  <c r="Y27" i="2" s="1"/>
  <c r="K26" i="2"/>
  <c r="Y26" i="2" s="1"/>
  <c r="L25" i="2"/>
  <c r="Y25" i="2" s="1"/>
  <c r="K19" i="2"/>
  <c r="K20" i="2" s="1"/>
  <c r="J19" i="2"/>
  <c r="J20" i="2" s="1"/>
  <c r="I19" i="2"/>
  <c r="I27" i="2" s="1"/>
  <c r="H27" i="2" s="1"/>
  <c r="G27" i="2" s="1"/>
  <c r="F27" i="2" s="1"/>
  <c r="H19" i="2"/>
  <c r="G19" i="2"/>
  <c r="F19" i="2"/>
  <c r="E19" i="2"/>
  <c r="D19" i="2"/>
  <c r="C19" i="2"/>
  <c r="C33" i="2" s="1"/>
  <c r="C47" i="2" s="1"/>
  <c r="D47" i="2" s="1"/>
  <c r="D61" i="2" s="1"/>
  <c r="O84" i="2" s="1"/>
  <c r="P39" i="2" l="1"/>
  <c r="W20" i="2"/>
  <c r="AK25" i="2"/>
  <c r="Y20" i="2"/>
  <c r="P37" i="2"/>
  <c r="AK26" i="2"/>
  <c r="X20" i="2"/>
  <c r="P38" i="2"/>
  <c r="I20" i="2"/>
  <c r="H20" i="2" s="1"/>
  <c r="G20" i="2" s="1"/>
  <c r="F20" i="2" s="1"/>
  <c r="E20" i="2" s="1"/>
  <c r="D20" i="2" s="1"/>
  <c r="G29" i="2"/>
  <c r="F29" i="2" s="1"/>
  <c r="E29" i="2" s="1"/>
  <c r="D29" i="2" s="1"/>
  <c r="C29" i="2" s="1"/>
  <c r="C57" i="2" s="1"/>
  <c r="O70" i="2" s="1"/>
  <c r="F30" i="2"/>
  <c r="G44" i="2" s="1"/>
  <c r="G58" i="2" s="1"/>
  <c r="O105" i="2" s="1"/>
  <c r="E31" i="2"/>
  <c r="D31" i="2" s="1"/>
  <c r="C31" i="2" s="1"/>
  <c r="Y28" i="2"/>
  <c r="Y29" i="2"/>
  <c r="C48" i="2"/>
  <c r="G28" i="2"/>
  <c r="H42" i="2"/>
  <c r="H56" i="2" s="1"/>
  <c r="O109" i="2" s="1"/>
  <c r="F43" i="2"/>
  <c r="F57" i="2" s="1"/>
  <c r="O97" i="2" s="1"/>
  <c r="C61" i="2"/>
  <c r="O74" i="2" s="1"/>
  <c r="E43" i="2"/>
  <c r="E57" i="2" s="1"/>
  <c r="O89" i="2" s="1"/>
  <c r="E27" i="2"/>
  <c r="G41" i="2"/>
  <c r="G55" i="2" s="1"/>
  <c r="O102" i="2" s="1"/>
  <c r="I41" i="2"/>
  <c r="I55" i="2" s="1"/>
  <c r="O113" i="2" s="1"/>
  <c r="Q87" i="2"/>
  <c r="E69" i="2" s="1"/>
  <c r="E83" i="2" s="1"/>
  <c r="I42" i="2"/>
  <c r="I56" i="2" s="1"/>
  <c r="O114" i="2" s="1"/>
  <c r="F41" i="2"/>
  <c r="F55" i="2" s="1"/>
  <c r="O95" i="2" s="1"/>
  <c r="J41" i="2"/>
  <c r="J55" i="2" s="1"/>
  <c r="O117" i="2" s="1"/>
  <c r="H43" i="2"/>
  <c r="H57" i="2" s="1"/>
  <c r="O110" i="2" s="1"/>
  <c r="H41" i="2"/>
  <c r="H55" i="2" s="1"/>
  <c r="O108" i="2" s="1"/>
  <c r="J26" i="2"/>
  <c r="K25" i="2"/>
  <c r="L39" i="2" s="1"/>
  <c r="L53" i="2" s="1"/>
  <c r="O120" i="2" s="1"/>
  <c r="D32" i="2"/>
  <c r="P40" i="2" l="1"/>
  <c r="V20" i="2"/>
  <c r="X30" i="2"/>
  <c r="X27" i="2"/>
  <c r="X28" i="2"/>
  <c r="X29" i="2"/>
  <c r="AK29" i="2" s="1"/>
  <c r="F45" i="2"/>
  <c r="F59" i="2" s="1"/>
  <c r="O99" i="2" s="1"/>
  <c r="Q92" i="2" s="1"/>
  <c r="E74" i="2" s="1"/>
  <c r="E88" i="2" s="1"/>
  <c r="E45" i="2"/>
  <c r="E59" i="2" s="1"/>
  <c r="O91" i="2" s="1"/>
  <c r="Q108" i="2" s="1"/>
  <c r="H69" i="2" s="1"/>
  <c r="H83" i="2" s="1"/>
  <c r="Y32" i="2"/>
  <c r="C43" i="2"/>
  <c r="D43" i="2" s="1"/>
  <c r="D57" i="2" s="1"/>
  <c r="O80" i="2" s="1"/>
  <c r="Q95" i="2" s="1"/>
  <c r="F69" i="2" s="1"/>
  <c r="F83" i="2" s="1"/>
  <c r="E30" i="2"/>
  <c r="F44" i="2" s="1"/>
  <c r="F58" i="2" s="1"/>
  <c r="O98" i="2" s="1"/>
  <c r="Q76" i="2" s="1"/>
  <c r="D67" i="2" s="1"/>
  <c r="D81" i="2" s="1"/>
  <c r="U20" i="2"/>
  <c r="P41" i="2"/>
  <c r="Y31" i="2"/>
  <c r="X31" i="2" s="1"/>
  <c r="AJ31" i="2" s="1"/>
  <c r="W31" i="2"/>
  <c r="W28" i="2"/>
  <c r="AI28" i="2" s="1"/>
  <c r="W29" i="2"/>
  <c r="W30" i="2"/>
  <c r="C20" i="2"/>
  <c r="Y34" i="2" s="1"/>
  <c r="Y33" i="2"/>
  <c r="G43" i="2"/>
  <c r="G57" i="2" s="1"/>
  <c r="O104" i="2" s="1"/>
  <c r="Y30" i="2"/>
  <c r="I26" i="2"/>
  <c r="J40" i="2"/>
  <c r="J54" i="2" s="1"/>
  <c r="O116" i="2" s="1"/>
  <c r="F28" i="2"/>
  <c r="G42" i="2"/>
  <c r="G56" i="2" s="1"/>
  <c r="O103" i="2" s="1"/>
  <c r="K40" i="2"/>
  <c r="K54" i="2" s="1"/>
  <c r="O119" i="2" s="1"/>
  <c r="Q104" i="2" s="1"/>
  <c r="G71" i="2" s="1"/>
  <c r="G85" i="2" s="1"/>
  <c r="D27" i="2"/>
  <c r="C27" i="2" s="1"/>
  <c r="E41" i="2"/>
  <c r="E55" i="2" s="1"/>
  <c r="O87" i="2" s="1"/>
  <c r="C32" i="2"/>
  <c r="E46" i="2"/>
  <c r="E60" i="2" s="1"/>
  <c r="O92" i="2" s="1"/>
  <c r="Q94" i="2" s="1"/>
  <c r="F68" i="2" s="1"/>
  <c r="F82" i="2" s="1"/>
  <c r="J25" i="2"/>
  <c r="K39" i="2"/>
  <c r="K53" i="2" s="1"/>
  <c r="O118" i="2" s="1"/>
  <c r="Q114" i="2" s="1"/>
  <c r="I70" i="2" s="1"/>
  <c r="I84" i="2" s="1"/>
  <c r="C45" i="2"/>
  <c r="D45" i="2" s="1"/>
  <c r="D59" i="2" s="1"/>
  <c r="O82" i="2" s="1"/>
  <c r="C59" i="2"/>
  <c r="O72" i="2" s="1"/>
  <c r="D30" i="2"/>
  <c r="C30" i="2" s="1"/>
  <c r="E44" i="2"/>
  <c r="E58" i="2" s="1"/>
  <c r="O90" i="2" s="1"/>
  <c r="AJ28" i="2" l="1"/>
  <c r="R20" i="2"/>
  <c r="P44" i="2"/>
  <c r="W32" i="2"/>
  <c r="AJ27" i="2"/>
  <c r="AK27" i="2"/>
  <c r="AJ30" i="2"/>
  <c r="U31" i="2"/>
  <c r="U32" i="2"/>
  <c r="U30" i="2"/>
  <c r="AG30" i="2" s="1"/>
  <c r="X33" i="2"/>
  <c r="AJ33" i="2" s="1"/>
  <c r="R33" i="2"/>
  <c r="AD33" i="2" s="1"/>
  <c r="Q20" i="2"/>
  <c r="P45" i="2"/>
  <c r="V33" i="2"/>
  <c r="U33" i="2"/>
  <c r="W33" i="2"/>
  <c r="AI33" i="2" s="1"/>
  <c r="X32" i="2"/>
  <c r="AJ32" i="2" s="1"/>
  <c r="V31" i="2"/>
  <c r="V32" i="2"/>
  <c r="V29" i="2"/>
  <c r="AH29" i="2" s="1"/>
  <c r="V30" i="2"/>
  <c r="R34" i="2"/>
  <c r="AD34" i="2" s="1"/>
  <c r="S34" i="2"/>
  <c r="AE34" i="2" s="1"/>
  <c r="P20" i="2"/>
  <c r="P46" i="2"/>
  <c r="U34" i="2"/>
  <c r="V34" i="2"/>
  <c r="AH34" i="2" s="1"/>
  <c r="W34" i="2"/>
  <c r="X34" i="2"/>
  <c r="AJ34" i="2" s="1"/>
  <c r="Q34" i="2"/>
  <c r="AC34" i="2" s="1"/>
  <c r="AK34" i="2"/>
  <c r="AJ29" i="2"/>
  <c r="S20" i="2"/>
  <c r="S32" i="2" s="1"/>
  <c r="AE32" i="2" s="1"/>
  <c r="P43" i="2"/>
  <c r="AK31" i="2"/>
  <c r="P42" i="2"/>
  <c r="AK30" i="2"/>
  <c r="T20" i="2"/>
  <c r="T33" i="2" s="1"/>
  <c r="AK28" i="2"/>
  <c r="I25" i="2"/>
  <c r="J39" i="2"/>
  <c r="J53" i="2" s="1"/>
  <c r="O115" i="2" s="1"/>
  <c r="Q66" i="2"/>
  <c r="C67" i="2" s="1"/>
  <c r="C81" i="2" s="1"/>
  <c r="C95" i="2" s="1"/>
  <c r="Q82" i="2"/>
  <c r="D73" i="2" s="1"/>
  <c r="D87" i="2" s="1"/>
  <c r="C60" i="2"/>
  <c r="O73" i="2" s="1"/>
  <c r="C46" i="2"/>
  <c r="D46" i="2" s="1"/>
  <c r="D60" i="2" s="1"/>
  <c r="O83" i="2" s="1"/>
  <c r="E28" i="2"/>
  <c r="F42" i="2"/>
  <c r="F56" i="2" s="1"/>
  <c r="O96" i="2" s="1"/>
  <c r="Q112" i="2"/>
  <c r="I68" i="2" s="1"/>
  <c r="I82" i="2" s="1"/>
  <c r="Q105" i="2"/>
  <c r="G72" i="2" s="1"/>
  <c r="G86" i="2" s="1"/>
  <c r="C55" i="2"/>
  <c r="O68" i="2" s="1"/>
  <c r="C41" i="2"/>
  <c r="D41" i="2" s="1"/>
  <c r="D55" i="2" s="1"/>
  <c r="O78" i="2" s="1"/>
  <c r="H26" i="2"/>
  <c r="I40" i="2" s="1"/>
  <c r="I54" i="2" s="1"/>
  <c r="O112" i="2" s="1"/>
  <c r="Q78" i="2" s="1"/>
  <c r="D69" i="2" s="1"/>
  <c r="D83" i="2" s="1"/>
  <c r="C44" i="2"/>
  <c r="D44" i="2" s="1"/>
  <c r="D58" i="2" s="1"/>
  <c r="O81" i="2" s="1"/>
  <c r="Q69" i="2" s="1"/>
  <c r="C70" i="2" s="1"/>
  <c r="C84" i="2" s="1"/>
  <c r="C98" i="2" s="1"/>
  <c r="C119" i="2" s="1"/>
  <c r="C58" i="2"/>
  <c r="O71" i="2" s="1"/>
  <c r="Q116" i="2" s="1"/>
  <c r="J68" i="2" s="1"/>
  <c r="J82" i="2" s="1"/>
  <c r="D95" i="2" l="1"/>
  <c r="D116" i="2" s="1"/>
  <c r="C116" i="2"/>
  <c r="AH30" i="2"/>
  <c r="Q106" i="2"/>
  <c r="H67" i="2" s="1"/>
  <c r="H81" i="2" s="1"/>
  <c r="Q111" i="2"/>
  <c r="AG33" i="2"/>
  <c r="AH31" i="2"/>
  <c r="AH33" i="2"/>
  <c r="AK32" i="2"/>
  <c r="T31" i="2"/>
  <c r="AF31" i="2" s="1"/>
  <c r="T32" i="2"/>
  <c r="AF32" i="2" s="1"/>
  <c r="AG31" i="2"/>
  <c r="AI31" i="2"/>
  <c r="S33" i="2"/>
  <c r="AE33" i="2" s="1"/>
  <c r="Q89" i="2"/>
  <c r="E71" i="2" s="1"/>
  <c r="E85" i="2" s="1"/>
  <c r="Q70" i="2"/>
  <c r="C71" i="2" s="1"/>
  <c r="C85" i="2" s="1"/>
  <c r="C99" i="2" s="1"/>
  <c r="C120" i="2" s="1"/>
  <c r="AH32" i="2"/>
  <c r="AK33" i="2"/>
  <c r="Q91" i="2"/>
  <c r="E73" i="2" s="1"/>
  <c r="E87" i="2" s="1"/>
  <c r="Q75" i="2"/>
  <c r="C76" i="2" s="1"/>
  <c r="C90" i="2" s="1"/>
  <c r="C104" i="2" s="1"/>
  <c r="C125" i="2" s="1"/>
  <c r="Q71" i="2"/>
  <c r="C72" i="2" s="1"/>
  <c r="C86" i="2" s="1"/>
  <c r="C100" i="2" s="1"/>
  <c r="C121" i="2" s="1"/>
  <c r="Q102" i="2"/>
  <c r="G69" i="2" s="1"/>
  <c r="G83" i="2" s="1"/>
  <c r="AI29" i="2"/>
  <c r="AI32" i="2"/>
  <c r="AI34" i="2"/>
  <c r="T34" i="2"/>
  <c r="AF34" i="2" s="1"/>
  <c r="AI30" i="2"/>
  <c r="G26" i="2"/>
  <c r="H40" i="2"/>
  <c r="H54" i="2" s="1"/>
  <c r="O107" i="2" s="1"/>
  <c r="Q100" i="2" s="1"/>
  <c r="G67" i="2" s="1"/>
  <c r="G81" i="2" s="1"/>
  <c r="D28" i="2"/>
  <c r="C28" i="2" s="1"/>
  <c r="Q117" i="2"/>
  <c r="J69" i="2" s="1"/>
  <c r="J83" i="2" s="1"/>
  <c r="Q79" i="2"/>
  <c r="D70" i="2" s="1"/>
  <c r="D84" i="2" s="1"/>
  <c r="D98" i="2" s="1"/>
  <c r="D119" i="2" s="1"/>
  <c r="Q81" i="2"/>
  <c r="D72" i="2" s="1"/>
  <c r="D86" i="2" s="1"/>
  <c r="H25" i="2"/>
  <c r="I67" i="2" l="1"/>
  <c r="I81" i="2" s="1"/>
  <c r="D100" i="2"/>
  <c r="D121" i="2" s="1"/>
  <c r="AG34" i="2"/>
  <c r="AG32" i="2"/>
  <c r="E42" i="2"/>
  <c r="E56" i="2" s="1"/>
  <c r="O88" i="2" s="1"/>
  <c r="AF33" i="2"/>
  <c r="G25" i="2"/>
  <c r="H39" i="2"/>
  <c r="H53" i="2" s="1"/>
  <c r="O106" i="2" s="1"/>
  <c r="Q77" i="2" s="1"/>
  <c r="D68" i="2" s="1"/>
  <c r="D82" i="2" s="1"/>
  <c r="Q68" i="2"/>
  <c r="C69" i="2" s="1"/>
  <c r="C83" i="2" s="1"/>
  <c r="C97" i="2" s="1"/>
  <c r="C42" i="2"/>
  <c r="D42" i="2" s="1"/>
  <c r="D56" i="2" s="1"/>
  <c r="O79" i="2" s="1"/>
  <c r="Q93" i="2" s="1"/>
  <c r="F67" i="2" s="1"/>
  <c r="F81" i="2" s="1"/>
  <c r="C56" i="2"/>
  <c r="O69" i="2" s="1"/>
  <c r="I39" i="2"/>
  <c r="I53" i="2" s="1"/>
  <c r="O111" i="2" s="1"/>
  <c r="F26" i="2"/>
  <c r="G40" i="2"/>
  <c r="G54" i="2" s="1"/>
  <c r="O101" i="2" s="1"/>
  <c r="D97" i="2" l="1"/>
  <c r="C118" i="2"/>
  <c r="Q103" i="2"/>
  <c r="G70" i="2" s="1"/>
  <c r="G84" i="2" s="1"/>
  <c r="Q107" i="2"/>
  <c r="H68" i="2" s="1"/>
  <c r="H82" i="2" s="1"/>
  <c r="Q115" i="2"/>
  <c r="J67" i="2" s="1"/>
  <c r="J81" i="2" s="1"/>
  <c r="Q96" i="2"/>
  <c r="F70" i="2" s="1"/>
  <c r="F84" i="2" s="1"/>
  <c r="Q67" i="2"/>
  <c r="C68" i="2" s="1"/>
  <c r="C82" i="2" s="1"/>
  <c r="C96" i="2" s="1"/>
  <c r="E26" i="2"/>
  <c r="F40" i="2"/>
  <c r="F54" i="2" s="1"/>
  <c r="O94" i="2" s="1"/>
  <c r="F25" i="2"/>
  <c r="G39" i="2"/>
  <c r="G53" i="2" s="1"/>
  <c r="O100" i="2" s="1"/>
  <c r="Q119" i="2" s="1"/>
  <c r="K68" i="2" s="1"/>
  <c r="K82" i="2" s="1"/>
  <c r="E97" i="2" l="1"/>
  <c r="D118" i="2"/>
  <c r="D96" i="2"/>
  <c r="D117" i="2" s="1"/>
  <c r="C117" i="2"/>
  <c r="Q118" i="2"/>
  <c r="K67" i="2" s="1"/>
  <c r="K81" i="2" s="1"/>
  <c r="Q84" i="2"/>
  <c r="D75" i="2" s="1"/>
  <c r="D89" i="2" s="1"/>
  <c r="E25" i="2"/>
  <c r="F39" i="2"/>
  <c r="F53" i="2" s="1"/>
  <c r="O93" i="2" s="1"/>
  <c r="Q109" i="2"/>
  <c r="Q86" i="2"/>
  <c r="E68" i="2" s="1"/>
  <c r="E82" i="2" s="1"/>
  <c r="Q73" i="2"/>
  <c r="C74" i="2" s="1"/>
  <c r="C88" i="2" s="1"/>
  <c r="C102" i="2" s="1"/>
  <c r="C123" i="2" s="1"/>
  <c r="D26" i="2"/>
  <c r="C26" i="2" s="1"/>
  <c r="E96" i="2" l="1"/>
  <c r="E117" i="2" s="1"/>
  <c r="F97" i="2"/>
  <c r="E118" i="2"/>
  <c r="H70" i="2"/>
  <c r="H84" i="2" s="1"/>
  <c r="C54" i="2"/>
  <c r="O67" i="2" s="1"/>
  <c r="Q110" i="2" s="1"/>
  <c r="C40" i="2"/>
  <c r="D40" i="2" s="1"/>
  <c r="D54" i="2" s="1"/>
  <c r="O77" i="2" s="1"/>
  <c r="E40" i="2"/>
  <c r="E54" i="2" s="1"/>
  <c r="O86" i="2" s="1"/>
  <c r="Q120" i="2" s="1"/>
  <c r="L67" i="2" s="1"/>
  <c r="L81" i="2" s="1"/>
  <c r="D25" i="2"/>
  <c r="C25" i="2" s="1"/>
  <c r="E39" i="2"/>
  <c r="E53" i="2" s="1"/>
  <c r="O85" i="2" s="1"/>
  <c r="F96" i="2" l="1"/>
  <c r="F117" i="2" s="1"/>
  <c r="G97" i="2"/>
  <c r="F118" i="2"/>
  <c r="H71" i="2"/>
  <c r="H85" i="2" s="1"/>
  <c r="Q74" i="2"/>
  <c r="C75" i="2" s="1"/>
  <c r="C89" i="2" s="1"/>
  <c r="C103" i="2" s="1"/>
  <c r="C124" i="2" s="1"/>
  <c r="Q88" i="2"/>
  <c r="E70" i="2" s="1"/>
  <c r="E84" i="2" s="1"/>
  <c r="E98" i="2" s="1"/>
  <c r="C39" i="2"/>
  <c r="D39" i="2" s="1"/>
  <c r="D53" i="2" s="1"/>
  <c r="O76" i="2" s="1"/>
  <c r="C53" i="2"/>
  <c r="Q99" i="2"/>
  <c r="F73" i="2" s="1"/>
  <c r="F87" i="2" s="1"/>
  <c r="Q98" i="2"/>
  <c r="F72" i="2" s="1"/>
  <c r="F86" i="2" s="1"/>
  <c r="Q90" i="2"/>
  <c r="E72" i="2" s="1"/>
  <c r="E86" i="2" s="1"/>
  <c r="E100" i="2" s="1"/>
  <c r="E121" i="2" s="1"/>
  <c r="Q97" i="2"/>
  <c r="F71" i="2" s="1"/>
  <c r="F85" i="2" s="1"/>
  <c r="Q83" i="2"/>
  <c r="D74" i="2" s="1"/>
  <c r="D88" i="2" s="1"/>
  <c r="D102" i="2" s="1"/>
  <c r="D123" i="2" s="1"/>
  <c r="Q80" i="2"/>
  <c r="D71" i="2" s="1"/>
  <c r="D85" i="2" s="1"/>
  <c r="D99" i="2" s="1"/>
  <c r="D120" i="2" s="1"/>
  <c r="Q85" i="2"/>
  <c r="E67" i="2" s="1"/>
  <c r="E81" i="2" s="1"/>
  <c r="E95" i="2" s="1"/>
  <c r="E116" i="2" s="1"/>
  <c r="H97" i="2" l="1"/>
  <c r="H118" i="2" s="1"/>
  <c r="G118" i="2"/>
  <c r="F98" i="2"/>
  <c r="E119" i="2"/>
  <c r="E102" i="2"/>
  <c r="E123" i="2" s="1"/>
  <c r="D103" i="2"/>
  <c r="D124" i="2" s="1"/>
  <c r="F95" i="2"/>
  <c r="F116" i="2" s="1"/>
  <c r="E99" i="2"/>
  <c r="F100" i="2"/>
  <c r="Q101" i="2"/>
  <c r="G68" i="2" s="1"/>
  <c r="G82" i="2" s="1"/>
  <c r="G96" i="2" s="1"/>
  <c r="Q72" i="2"/>
  <c r="C73" i="2" s="1"/>
  <c r="C87" i="2" s="1"/>
  <c r="C101" i="2" s="1"/>
  <c r="Q113" i="2"/>
  <c r="I69" i="2" s="1"/>
  <c r="I83" i="2" s="1"/>
  <c r="O66" i="2"/>
  <c r="O56" i="2"/>
  <c r="O58" i="2" s="1"/>
  <c r="O59" i="2" s="1"/>
  <c r="I97" i="2" l="1"/>
  <c r="J97" i="2" s="1"/>
  <c r="J118" i="2" s="1"/>
  <c r="H96" i="2"/>
  <c r="G117" i="2"/>
  <c r="G100" i="2"/>
  <c r="G121" i="2" s="1"/>
  <c r="F121" i="2"/>
  <c r="G98" i="2"/>
  <c r="F119" i="2"/>
  <c r="F99" i="2"/>
  <c r="E120" i="2"/>
  <c r="D101" i="2"/>
  <c r="C109" i="2" s="1"/>
  <c r="C122" i="2"/>
  <c r="G95" i="2"/>
  <c r="G116" i="2" s="1"/>
  <c r="I118" i="2" l="1"/>
  <c r="I96" i="2"/>
  <c r="H117" i="2"/>
  <c r="H98" i="2"/>
  <c r="G119" i="2"/>
  <c r="G99" i="2"/>
  <c r="F109" i="2" s="1"/>
  <c r="F120" i="2"/>
  <c r="E101" i="2"/>
  <c r="E122" i="2" s="1"/>
  <c r="D122" i="2"/>
  <c r="H95" i="2"/>
  <c r="H116" i="2" s="1"/>
  <c r="J96" i="2" l="1"/>
  <c r="I117" i="2"/>
  <c r="I98" i="2"/>
  <c r="I119" i="2" s="1"/>
  <c r="H119" i="2"/>
  <c r="H99" i="2"/>
  <c r="H120" i="2" s="1"/>
  <c r="G120" i="2"/>
  <c r="F101" i="2"/>
  <c r="D109" i="2"/>
  <c r="I95" i="2"/>
  <c r="I116" i="2" s="1"/>
  <c r="G109" i="2" l="1"/>
  <c r="K96" i="2"/>
  <c r="K117" i="2" s="1"/>
  <c r="J117" i="2"/>
  <c r="E109" i="2"/>
  <c r="F122" i="2"/>
  <c r="J95" i="2"/>
  <c r="J116" i="2" s="1"/>
  <c r="H109" i="2"/>
  <c r="K95" i="2" l="1"/>
  <c r="K116" i="2" s="1"/>
  <c r="I109" i="2"/>
  <c r="L95" i="2" l="1"/>
  <c r="J109" i="2"/>
  <c r="O130" i="2" l="1"/>
  <c r="D7" i="3" s="1"/>
  <c r="K109" i="2"/>
  <c r="C110" i="2" s="1"/>
  <c r="I110" i="2" l="1"/>
  <c r="O133" i="2" s="1"/>
  <c r="H110" i="2"/>
  <c r="O134" i="2" s="1"/>
  <c r="G110" i="2"/>
  <c r="O135" i="2" s="1"/>
  <c r="F110" i="2"/>
  <c r="O136" i="2" s="1"/>
  <c r="K110" i="2"/>
  <c r="O131" i="2" s="1"/>
  <c r="E110" i="2"/>
  <c r="O137" i="2" s="1"/>
  <c r="D110" i="2"/>
  <c r="O138" i="2" s="1"/>
  <c r="O139" i="2"/>
  <c r="L116" i="2"/>
  <c r="L130" i="2" s="1"/>
  <c r="P130" i="2" s="1"/>
  <c r="D22" i="3" s="1"/>
  <c r="J110" i="2"/>
  <c r="L120" i="2" l="1"/>
  <c r="I120" i="2" s="1"/>
  <c r="I134" i="2" s="1"/>
  <c r="D11" i="3"/>
  <c r="L123" i="2"/>
  <c r="J123" i="2" s="1"/>
  <c r="D14" i="3"/>
  <c r="L117" i="2"/>
  <c r="L131" i="2" s="1"/>
  <c r="D8" i="3"/>
  <c r="L125" i="2"/>
  <c r="F125" i="2" s="1"/>
  <c r="D16" i="3"/>
  <c r="L122" i="2"/>
  <c r="K122" i="2" s="1"/>
  <c r="D13" i="3"/>
  <c r="L124" i="2"/>
  <c r="J124" i="2" s="1"/>
  <c r="D15" i="3"/>
  <c r="L121" i="2"/>
  <c r="I121" i="2" s="1"/>
  <c r="D12" i="3"/>
  <c r="L119" i="2"/>
  <c r="K119" i="2" s="1"/>
  <c r="D10" i="3"/>
  <c r="O132" i="2"/>
  <c r="J120" i="2" l="1"/>
  <c r="J134" i="2" s="1"/>
  <c r="K120" i="2"/>
  <c r="I123" i="2"/>
  <c r="J137" i="2" s="1"/>
  <c r="F123" i="2"/>
  <c r="F137" i="2" s="1"/>
  <c r="D125" i="2"/>
  <c r="D139" i="2" s="1"/>
  <c r="J121" i="2"/>
  <c r="J135" i="2" s="1"/>
  <c r="H125" i="2"/>
  <c r="G125" i="2"/>
  <c r="G139" i="2" s="1"/>
  <c r="I124" i="2"/>
  <c r="J138" i="2" s="1"/>
  <c r="H124" i="2"/>
  <c r="I125" i="2"/>
  <c r="K124" i="2"/>
  <c r="K138" i="2" s="1"/>
  <c r="G122" i="2"/>
  <c r="G136" i="2" s="1"/>
  <c r="I122" i="2"/>
  <c r="J122" i="2"/>
  <c r="J119" i="2"/>
  <c r="J133" i="2" s="1"/>
  <c r="O140" i="2"/>
  <c r="D9" i="3"/>
  <c r="D17" i="3" s="1"/>
  <c r="G124" i="2"/>
  <c r="E124" i="2"/>
  <c r="E138" i="2" s="1"/>
  <c r="G123" i="2"/>
  <c r="H123" i="2"/>
  <c r="K123" i="2"/>
  <c r="L137" i="2" s="1"/>
  <c r="H122" i="2"/>
  <c r="K125" i="2"/>
  <c r="L139" i="2" s="1"/>
  <c r="P139" i="2" s="1"/>
  <c r="D31" i="3" s="1"/>
  <c r="K121" i="2"/>
  <c r="L135" i="2" s="1"/>
  <c r="E125" i="2"/>
  <c r="F139" i="2" s="1"/>
  <c r="J125" i="2"/>
  <c r="H121" i="2"/>
  <c r="H135" i="2" s="1"/>
  <c r="F124" i="2"/>
  <c r="L133" i="2"/>
  <c r="L136" i="2"/>
  <c r="L118" i="2"/>
  <c r="I139" i="2" l="1"/>
  <c r="K134" i="2"/>
  <c r="L134" i="2"/>
  <c r="I138" i="2"/>
  <c r="G137" i="2"/>
  <c r="H139" i="2"/>
  <c r="H138" i="2"/>
  <c r="J139" i="2"/>
  <c r="P137" i="2" s="1"/>
  <c r="D29" i="3" s="1"/>
  <c r="H137" i="2"/>
  <c r="J136" i="2"/>
  <c r="K133" i="2"/>
  <c r="L138" i="2"/>
  <c r="I135" i="2"/>
  <c r="G138" i="2"/>
  <c r="K136" i="2"/>
  <c r="H136" i="2"/>
  <c r="I136" i="2"/>
  <c r="I137" i="2"/>
  <c r="E139" i="2"/>
  <c r="F138" i="2"/>
  <c r="K139" i="2"/>
  <c r="K135" i="2"/>
  <c r="K137" i="2"/>
  <c r="K118" i="2"/>
  <c r="K132" i="2" s="1"/>
  <c r="P131" i="2" s="1"/>
  <c r="D23" i="3" s="1"/>
  <c r="P135" i="2" l="1"/>
  <c r="D27" i="3" s="1"/>
  <c r="P136" i="2"/>
  <c r="D28" i="3" s="1"/>
  <c r="P138" i="2"/>
  <c r="D30" i="3" s="1"/>
  <c r="P134" i="2"/>
  <c r="D26" i="3" s="1"/>
  <c r="P133" i="2"/>
  <c r="D25" i="3" s="1"/>
  <c r="L132" i="2"/>
  <c r="P132" i="2" s="1"/>
  <c r="D24" i="3" s="1"/>
  <c r="D32" i="3" l="1"/>
  <c r="P140" i="2"/>
  <c r="C32" i="3"/>
</calcChain>
</file>

<file path=xl/sharedStrings.xml><?xml version="1.0" encoding="utf-8"?>
<sst xmlns="http://schemas.openxmlformats.org/spreadsheetml/2006/main" count="278" uniqueCount="62">
  <si>
    <t>Run-Off</t>
  </si>
  <si>
    <t>Años</t>
  </si>
  <si>
    <t>-</t>
  </si>
  <si>
    <t>f</t>
  </si>
  <si>
    <t>F</t>
  </si>
  <si>
    <t>PASO 2</t>
  </si>
  <si>
    <t>ID</t>
  </si>
  <si>
    <t>Valores</t>
  </si>
  <si>
    <t>PASO 1</t>
  </si>
  <si>
    <t>PASO 3</t>
  </si>
  <si>
    <t>Run-Off Incrementos</t>
  </si>
  <si>
    <t>Run-Off ACUMULADO</t>
  </si>
  <si>
    <t>PASO 4</t>
  </si>
  <si>
    <t>Var(e)</t>
  </si>
  <si>
    <t>Periodos</t>
  </si>
  <si>
    <t>SD(e)</t>
  </si>
  <si>
    <t>Estadisticos Errores</t>
  </si>
  <si>
    <r>
      <t>e</t>
    </r>
    <r>
      <rPr>
        <b/>
        <vertAlign val="superscript"/>
        <sz val="11"/>
        <color theme="1"/>
        <rFont val="Cambria"/>
        <family val="1"/>
        <scheme val="major"/>
      </rPr>
      <t>2</t>
    </r>
  </si>
  <si>
    <t>PASO 5</t>
  </si>
  <si>
    <t>REMUESTREO</t>
  </si>
  <si>
    <t>ID Aleatorio</t>
  </si>
  <si>
    <t>Valor Aleatorio</t>
  </si>
  <si>
    <t>CHAIN LADDER CLASICO</t>
  </si>
  <si>
    <t>R0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</si>
  <si>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</si>
  <si>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</si>
  <si>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</si>
  <si>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</si>
  <si>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</si>
  <si>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</si>
  <si>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</si>
  <si>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</si>
  <si>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</si>
  <si>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RESERVA</t>
  </si>
  <si>
    <t>P(%)</t>
  </si>
  <si>
    <t>Dotacion</t>
  </si>
  <si>
    <t>DOTACION</t>
  </si>
  <si>
    <t>TOTAL</t>
  </si>
  <si>
    <t>PROPORCION</t>
  </si>
  <si>
    <t>INCREMENTOS ERRORES BOOTSTRAP</t>
  </si>
  <si>
    <t xml:space="preserve">INCREMENTOS ERRORES PEARSON </t>
  </si>
  <si>
    <t>REGENERACION INCREMENTOS Bootstrap</t>
  </si>
  <si>
    <t>PASO 6</t>
  </si>
  <si>
    <t>PASO 7</t>
  </si>
  <si>
    <t>ACUMULACION INCREMENTOS Bootstrap</t>
  </si>
  <si>
    <t>PASO 8</t>
  </si>
  <si>
    <t>PASO 9</t>
  </si>
  <si>
    <t>PASO 10</t>
  </si>
  <si>
    <t>INCREMENTOS</t>
  </si>
  <si>
    <t>RUN-OFF BOOTSTRAP</t>
  </si>
  <si>
    <t>Repeticiones</t>
  </si>
  <si>
    <t>Chain Ladder</t>
  </si>
  <si>
    <t>Bootstrap</t>
  </si>
  <si>
    <t>Reservas</t>
  </si>
  <si>
    <t>Total</t>
  </si>
  <si>
    <t>Intervalo Bootstrap (90%)</t>
  </si>
  <si>
    <t>Estimadores B</t>
  </si>
  <si>
    <t>Error muestreo</t>
  </si>
  <si>
    <t>Inferior</t>
  </si>
  <si>
    <t>Superior</t>
  </si>
  <si>
    <t>RESERVAS</t>
  </si>
  <si>
    <t>DOTACIONES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</si>
</sst>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0"/>
    <numFmt numFmtId="165" formatCode="0.000"/>
  </numFmts>
  <fonts count="16" x14ac:knownFonts="1">
    <font>
      <sz val="11"/>
      <color theme="1"/>
      <name val="Calibri"/>
      <family val="2"/>
      <scheme val="minor"/>
    </font>
    <font>
      <sz val="12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mbria"/>
      <family val="1"/>
      <scheme val="major"/>
    </font>
    <font>
      <b/>
      <sz val="11"/>
      <color theme="1"/>
      <name val="Cambria"/>
      <family val="1"/>
      <scheme val="major"/>
    </font>
    <font>
      <b/>
      <vertAlign val="superscript"/>
      <sz val="11"/>
      <color theme="1"/>
      <name val="Cambria"/>
      <family val="1"/>
      <scheme val="major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b/>
      <sz val="12"/>
      <color rgb="FFFF0000"/>
      <name val="Calibri"/>
      <family val="2"/>
      <scheme val="minor"/>
    </font>
    <font>
      <b/>
      <sz val="12"/>
      <color indexed="8"/>
      <name val="Calibri"/>
      <family val="2"/>
    </font>
    <font>
      <b/>
      <sz val="11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61">
    <xf numFmtId="0" fontId="0" fillId="0" borderId="0" xfId="0"/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1" fontId="2" fillId="3" borderId="9" xfId="0" applyNumberFormat="1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/>
    </xf>
    <xf numFmtId="0" fontId="2" fillId="3" borderId="19" xfId="0" applyFont="1" applyFill="1" applyBorder="1" applyAlignment="1">
      <alignment horizontal="center" vertical="center"/>
    </xf>
    <xf numFmtId="0" fontId="2" fillId="3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2" fontId="2" fillId="3" borderId="9" xfId="0" applyNumberFormat="1" applyFont="1" applyFill="1" applyBorder="1" applyAlignment="1">
      <alignment horizontal="center" vertical="center"/>
    </xf>
    <xf numFmtId="2" fontId="2" fillId="3" borderId="10" xfId="0" applyNumberFormat="1" applyFont="1" applyFill="1" applyBorder="1" applyAlignment="1">
      <alignment horizontal="center" vertical="center"/>
    </xf>
    <xf numFmtId="2" fontId="2" fillId="3" borderId="0" xfId="0" applyNumberFormat="1" applyFont="1" applyFill="1" applyBorder="1" applyAlignment="1">
      <alignment horizontal="center" vertical="center"/>
    </xf>
    <xf numFmtId="2" fontId="2" fillId="3" borderId="12" xfId="0" applyNumberFormat="1" applyFont="1" applyFill="1" applyBorder="1" applyAlignment="1">
      <alignment horizontal="center" vertical="center"/>
    </xf>
    <xf numFmtId="2" fontId="2" fillId="3" borderId="15" xfId="0" applyNumberFormat="1" applyFont="1" applyFill="1" applyBorder="1" applyAlignment="1">
      <alignment horizontal="center" vertical="center"/>
    </xf>
    <xf numFmtId="2" fontId="2" fillId="3" borderId="16" xfId="0" applyNumberFormat="1" applyFont="1" applyFill="1" applyBorder="1" applyAlignment="1">
      <alignment horizontal="center" vertical="center"/>
    </xf>
    <xf numFmtId="1" fontId="2" fillId="3" borderId="10" xfId="0" applyNumberFormat="1" applyFont="1" applyFill="1" applyBorder="1" applyAlignment="1">
      <alignment horizontal="center" vertical="center"/>
    </xf>
    <xf numFmtId="1" fontId="2" fillId="3" borderId="0" xfId="0" applyNumberFormat="1" applyFont="1" applyFill="1" applyBorder="1" applyAlignment="1">
      <alignment horizontal="center" vertical="center"/>
    </xf>
    <xf numFmtId="1" fontId="2" fillId="3" borderId="12" xfId="0" applyNumberFormat="1" applyFont="1" applyFill="1" applyBorder="1" applyAlignment="1">
      <alignment horizontal="center" vertical="center"/>
    </xf>
    <xf numFmtId="1" fontId="2" fillId="3" borderId="15" xfId="0" applyNumberFormat="1" applyFont="1" applyFill="1" applyBorder="1" applyAlignment="1">
      <alignment horizontal="center" vertical="center"/>
    </xf>
    <xf numFmtId="1" fontId="2" fillId="3" borderId="16" xfId="0" applyNumberFormat="1" applyFont="1" applyFill="1" applyBorder="1" applyAlignment="1">
      <alignment horizontal="center" vertical="center"/>
    </xf>
    <xf numFmtId="1" fontId="2" fillId="3" borderId="8" xfId="0" applyNumberFormat="1" applyFont="1" applyFill="1" applyBorder="1" applyAlignment="1">
      <alignment horizontal="center" vertical="center"/>
    </xf>
    <xf numFmtId="1" fontId="2" fillId="3" borderId="11" xfId="0" applyNumberFormat="1" applyFont="1" applyFill="1" applyBorder="1" applyAlignment="1">
      <alignment horizontal="center" vertical="center"/>
    </xf>
    <xf numFmtId="1" fontId="2" fillId="3" borderId="14" xfId="0" applyNumberFormat="1" applyFont="1" applyFill="1" applyBorder="1" applyAlignment="1">
      <alignment horizontal="center" vertical="center"/>
    </xf>
    <xf numFmtId="2" fontId="2" fillId="3" borderId="11" xfId="0" applyNumberFormat="1" applyFont="1" applyFill="1" applyBorder="1" applyAlignment="1">
      <alignment horizontal="center" vertical="center"/>
    </xf>
    <xf numFmtId="0" fontId="0" fillId="0" borderId="0" xfId="0"/>
    <xf numFmtId="2" fontId="2" fillId="3" borderId="14" xfId="0" applyNumberFormat="1" applyFont="1" applyFill="1" applyBorder="1" applyAlignment="1">
      <alignment horizontal="center" vertical="center"/>
    </xf>
    <xf numFmtId="0" fontId="2" fillId="3" borderId="24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" fontId="2" fillId="3" borderId="8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/>
    </xf>
    <xf numFmtId="0" fontId="0" fillId="0" borderId="0" xfId="0" applyFill="1"/>
    <xf numFmtId="165" fontId="2" fillId="0" borderId="12" xfId="0" applyNumberFormat="1" applyFont="1" applyFill="1" applyBorder="1" applyAlignment="1">
      <alignment horizontal="center" vertical="center"/>
    </xf>
    <xf numFmtId="0" fontId="7" fillId="0" borderId="25" xfId="0" applyFont="1" applyFill="1" applyBorder="1" applyAlignment="1">
      <alignment horizontal="center"/>
    </xf>
    <xf numFmtId="0" fontId="2" fillId="0" borderId="22" xfId="0" applyFont="1" applyBorder="1" applyAlignment="1">
      <alignment horizontal="center"/>
    </xf>
    <xf numFmtId="1" fontId="2" fillId="0" borderId="12" xfId="0" applyNumberFormat="1" applyFont="1" applyBorder="1" applyAlignment="1">
      <alignment horizontal="center"/>
    </xf>
    <xf numFmtId="0" fontId="2" fillId="0" borderId="22" xfId="0" applyNumberFormat="1" applyFont="1" applyBorder="1" applyAlignment="1">
      <alignment horizontal="center"/>
    </xf>
    <xf numFmtId="165" fontId="2" fillId="0" borderId="12" xfId="0" applyNumberFormat="1" applyFont="1" applyBorder="1" applyAlignment="1">
      <alignment horizontal="center"/>
    </xf>
    <xf numFmtId="0" fontId="2" fillId="0" borderId="23" xfId="0" applyNumberFormat="1" applyFont="1" applyBorder="1" applyAlignment="1">
      <alignment horizontal="center"/>
    </xf>
    <xf numFmtId="165" fontId="2" fillId="0" borderId="16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25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center"/>
    </xf>
    <xf numFmtId="0" fontId="0" fillId="3" borderId="17" xfId="0" applyFill="1" applyBorder="1"/>
    <xf numFmtId="2" fontId="0" fillId="3" borderId="25" xfId="0" applyNumberFormat="1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4" fontId="0" fillId="3" borderId="25" xfId="0" applyNumberFormat="1" applyFill="1" applyBorder="1" applyAlignment="1">
      <alignment horizontal="center"/>
    </xf>
    <xf numFmtId="2" fontId="0" fillId="3" borderId="22" xfId="0" applyNumberFormat="1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4" fontId="0" fillId="3" borderId="22" xfId="0" applyNumberFormat="1" applyFill="1" applyBorder="1" applyAlignment="1">
      <alignment horizontal="center"/>
    </xf>
    <xf numFmtId="2" fontId="0" fillId="3" borderId="22" xfId="0" applyNumberForma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2" fontId="0" fillId="3" borderId="23" xfId="0" applyNumberFormat="1" applyFill="1" applyBorder="1" applyAlignment="1">
      <alignment horizontal="center" vertical="center"/>
    </xf>
    <xf numFmtId="0" fontId="0" fillId="3" borderId="23" xfId="0" applyFill="1" applyBorder="1" applyAlignment="1">
      <alignment horizontal="center"/>
    </xf>
    <xf numFmtId="4" fontId="0" fillId="3" borderId="23" xfId="0" applyNumberFormat="1" applyFill="1" applyBorder="1" applyAlignment="1">
      <alignment horizontal="center"/>
    </xf>
    <xf numFmtId="3" fontId="2" fillId="3" borderId="8" xfId="0" applyNumberFormat="1" applyFont="1" applyFill="1" applyBorder="1" applyAlignment="1">
      <alignment horizontal="center"/>
    </xf>
    <xf numFmtId="3" fontId="2" fillId="3" borderId="9" xfId="0" applyNumberFormat="1" applyFont="1" applyFill="1" applyBorder="1" applyAlignment="1">
      <alignment horizontal="center"/>
    </xf>
    <xf numFmtId="3" fontId="2" fillId="3" borderId="10" xfId="0" applyNumberFormat="1" applyFont="1" applyFill="1" applyBorder="1" applyAlignment="1">
      <alignment horizontal="center"/>
    </xf>
    <xf numFmtId="164" fontId="2" fillId="0" borderId="8" xfId="0" applyNumberFormat="1" applyFont="1" applyBorder="1" applyAlignment="1">
      <alignment horizontal="center"/>
    </xf>
    <xf numFmtId="165" fontId="2" fillId="3" borderId="8" xfId="0" applyNumberFormat="1" applyFont="1" applyFill="1" applyBorder="1" applyAlignment="1">
      <alignment horizontal="center"/>
    </xf>
    <xf numFmtId="165" fontId="2" fillId="3" borderId="9" xfId="0" applyNumberFormat="1" applyFont="1" applyFill="1" applyBorder="1" applyAlignment="1">
      <alignment horizontal="center"/>
    </xf>
    <xf numFmtId="165" fontId="2" fillId="3" borderId="10" xfId="0" applyNumberFormat="1" applyFont="1" applyFill="1" applyBorder="1" applyAlignment="1">
      <alignment horizontal="center"/>
    </xf>
    <xf numFmtId="165" fontId="2" fillId="3" borderId="1" xfId="0" applyNumberFormat="1" applyFont="1" applyFill="1" applyBorder="1" applyAlignment="1">
      <alignment horizontal="center"/>
    </xf>
    <xf numFmtId="165" fontId="2" fillId="3" borderId="2" xfId="0" applyNumberFormat="1" applyFont="1" applyFill="1" applyBorder="1" applyAlignment="1">
      <alignment horizontal="center"/>
    </xf>
    <xf numFmtId="165" fontId="2" fillId="3" borderId="3" xfId="0" applyNumberFormat="1" applyFont="1" applyFill="1" applyBorder="1" applyAlignment="1">
      <alignment horizontal="center"/>
    </xf>
    <xf numFmtId="4" fontId="0" fillId="0" borderId="0" xfId="0" applyNumberFormat="1" applyAlignment="1">
      <alignment horizontal="center" vertical="center"/>
    </xf>
    <xf numFmtId="9" fontId="2" fillId="3" borderId="2" xfId="1" applyFont="1" applyFill="1" applyBorder="1" applyAlignment="1">
      <alignment horizontal="center"/>
    </xf>
    <xf numFmtId="9" fontId="2" fillId="3" borderId="3" xfId="1" applyFont="1" applyFill="1" applyBorder="1" applyAlignment="1">
      <alignment horizontal="center"/>
    </xf>
    <xf numFmtId="2" fontId="2" fillId="4" borderId="15" xfId="0" applyNumberFormat="1" applyFont="1" applyFill="1" applyBorder="1" applyAlignment="1">
      <alignment horizontal="center" vertical="center"/>
    </xf>
    <xf numFmtId="10" fontId="2" fillId="3" borderId="1" xfId="1" applyNumberFormat="1" applyFont="1" applyFill="1" applyBorder="1" applyAlignment="1">
      <alignment horizontal="center"/>
    </xf>
    <xf numFmtId="3" fontId="2" fillId="3" borderId="9" xfId="0" applyNumberFormat="1" applyFont="1" applyFill="1" applyBorder="1" applyAlignment="1">
      <alignment horizontal="center" vertical="center"/>
    </xf>
    <xf numFmtId="3" fontId="2" fillId="3" borderId="0" xfId="0" applyNumberFormat="1" applyFont="1" applyFill="1" applyBorder="1" applyAlignment="1">
      <alignment horizontal="center" vertical="center"/>
    </xf>
    <xf numFmtId="3" fontId="2" fillId="4" borderId="22" xfId="0" applyNumberFormat="1" applyFont="1" applyFill="1" applyBorder="1" applyAlignment="1">
      <alignment horizontal="center" vertical="center"/>
    </xf>
    <xf numFmtId="3" fontId="2" fillId="4" borderId="0" xfId="0" applyNumberFormat="1" applyFont="1" applyFill="1" applyBorder="1" applyAlignment="1">
      <alignment horizontal="center" vertical="center"/>
    </xf>
    <xf numFmtId="3" fontId="2" fillId="4" borderId="15" xfId="0" applyNumberFormat="1" applyFont="1" applyFill="1" applyBorder="1" applyAlignment="1">
      <alignment horizontal="center" vertical="center"/>
    </xf>
    <xf numFmtId="3" fontId="2" fillId="4" borderId="23" xfId="0" applyNumberFormat="1" applyFont="1" applyFill="1" applyBorder="1" applyAlignment="1">
      <alignment horizontal="center" vertical="center"/>
    </xf>
    <xf numFmtId="3" fontId="2" fillId="3" borderId="25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27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8" xfId="0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3" fontId="0" fillId="0" borderId="0" xfId="0" applyNumberFormat="1" applyAlignment="1">
      <alignment horizontal="center"/>
    </xf>
    <xf numFmtId="4" fontId="0" fillId="0" borderId="27" xfId="0" applyNumberFormat="1" applyBorder="1" applyAlignment="1">
      <alignment horizontal="center"/>
    </xf>
    <xf numFmtId="2" fontId="2" fillId="4" borderId="12" xfId="0" applyNumberFormat="1" applyFont="1" applyFill="1" applyBorder="1" applyAlignment="1">
      <alignment horizontal="center" vertical="center"/>
    </xf>
    <xf numFmtId="2" fontId="2" fillId="4" borderId="0" xfId="0" applyNumberFormat="1" applyFont="1" applyFill="1" applyBorder="1" applyAlignment="1">
      <alignment horizontal="center" vertical="center"/>
    </xf>
    <xf numFmtId="165" fontId="2" fillId="3" borderId="17" xfId="0" applyNumberFormat="1" applyFont="1" applyFill="1" applyBorder="1" applyAlignment="1">
      <alignment horizontal="center"/>
    </xf>
    <xf numFmtId="2" fontId="2" fillId="4" borderId="16" xfId="0" applyNumberFormat="1" applyFont="1" applyFill="1" applyBorder="1" applyAlignment="1">
      <alignment horizontal="center" vertical="center"/>
    </xf>
    <xf numFmtId="0" fontId="0" fillId="0" borderId="30" xfId="0" applyBorder="1" applyAlignment="1">
      <alignment horizontal="center"/>
    </xf>
    <xf numFmtId="3" fontId="0" fillId="0" borderId="9" xfId="0" applyNumberFormat="1" applyBorder="1" applyAlignment="1">
      <alignment horizontal="center" vertical="center"/>
    </xf>
    <xf numFmtId="3" fontId="0" fillId="0" borderId="10" xfId="0" applyNumberFormat="1" applyBorder="1" applyAlignment="1">
      <alignment horizontal="center"/>
    </xf>
    <xf numFmtId="0" fontId="0" fillId="0" borderId="31" xfId="0" applyBorder="1" applyAlignment="1">
      <alignment horizontal="center"/>
    </xf>
    <xf numFmtId="3" fontId="0" fillId="0" borderId="0" xfId="0" applyNumberFormat="1" applyBorder="1" applyAlignment="1">
      <alignment horizontal="center" vertical="center"/>
    </xf>
    <xf numFmtId="3" fontId="0" fillId="0" borderId="12" xfId="0" applyNumberForma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17" xfId="0" applyBorder="1" applyAlignment="1">
      <alignment horizontal="center"/>
    </xf>
    <xf numFmtId="4" fontId="0" fillId="0" borderId="2" xfId="0" applyNumberFormat="1" applyBorder="1" applyAlignment="1">
      <alignment horizontal="center"/>
    </xf>
    <xf numFmtId="4" fontId="0" fillId="0" borderId="3" xfId="0" applyNumberFormat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9" fillId="6" borderId="34" xfId="0" applyFont="1" applyFill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3" fontId="10" fillId="0" borderId="0" xfId="0" applyNumberFormat="1" applyFont="1" applyBorder="1" applyAlignment="1">
      <alignment horizontal="center"/>
    </xf>
    <xf numFmtId="3" fontId="9" fillId="6" borderId="34" xfId="0" applyNumberFormat="1" applyFont="1" applyFill="1" applyBorder="1" applyAlignment="1">
      <alignment horizontal="center"/>
    </xf>
    <xf numFmtId="3" fontId="9" fillId="6" borderId="33" xfId="0" applyNumberFormat="1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4" fontId="10" fillId="0" borderId="32" xfId="0" applyNumberFormat="1" applyFont="1" applyBorder="1"/>
    <xf numFmtId="4" fontId="10" fillId="0" borderId="32" xfId="0" applyNumberFormat="1" applyFont="1" applyBorder="1" applyAlignment="1">
      <alignment horizontal="right"/>
    </xf>
    <xf numFmtId="4" fontId="10" fillId="0" borderId="0" xfId="0" applyNumberFormat="1" applyFont="1"/>
    <xf numFmtId="4" fontId="10" fillId="0" borderId="0" xfId="0" applyNumberFormat="1" applyFont="1" applyAlignment="1">
      <alignment horizontal="right"/>
    </xf>
    <xf numFmtId="4" fontId="9" fillId="6" borderId="33" xfId="0" applyNumberFormat="1" applyFont="1" applyFill="1" applyBorder="1"/>
    <xf numFmtId="4" fontId="9" fillId="6" borderId="33" xfId="0" applyNumberFormat="1" applyFont="1" applyFill="1" applyBorder="1" applyAlignment="1">
      <alignment horizontal="right"/>
    </xf>
    <xf numFmtId="0" fontId="11" fillId="0" borderId="0" xfId="0" applyFont="1" applyAlignment="1">
      <alignment horizontal="center"/>
    </xf>
    <xf numFmtId="0" fontId="4" fillId="8" borderId="0" xfId="0" applyFont="1" applyFill="1" applyBorder="1" applyAlignment="1">
      <alignment horizontal="center"/>
    </xf>
    <xf numFmtId="0" fontId="4" fillId="8" borderId="14" xfId="0" applyFont="1" applyFill="1" applyBorder="1" applyAlignment="1">
      <alignment horizontal="center"/>
    </xf>
    <xf numFmtId="0" fontId="4" fillId="8" borderId="15" xfId="0" applyFont="1" applyFill="1" applyBorder="1" applyAlignment="1">
      <alignment horizontal="center"/>
    </xf>
    <xf numFmtId="0" fontId="4" fillId="8" borderId="16" xfId="0" applyFont="1" applyFill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5" fillId="8" borderId="17" xfId="0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6" fillId="2" borderId="8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57150</xdr:rowOff>
        </xdr:from>
        <xdr:to>
          <xdr:col>5</xdr:col>
          <xdr:colOff>752475</xdr:colOff>
          <xdr:row>2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Iniciar BootStrap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AK140"/>
  <sheetViews>
    <sheetView topLeftCell="A115" workbookViewId="0">
      <selection activeCell="N129" sqref="N129:P140"/>
    </sheetView>
  </sheetViews>
  <sheetFormatPr baseColWidth="10" defaultRowHeight="15" x14ac:dyDescent="0.25"/>
  <cols>
    <col min="2" max="2" width="11.5703125" bestFit="1" customWidth="1"/>
    <col min="16" max="16" width="11.5703125" bestFit="1" customWidth="1"/>
    <col min="17" max="17" width="14.42578125" bestFit="1" customWidth="1"/>
  </cols>
  <sheetData>
    <row r="2" spans="2:12" ht="15.75" thickBot="1" x14ac:dyDescent="0.3"/>
    <row r="3" spans="2:12" ht="16.5" thickBot="1" x14ac:dyDescent="0.3">
      <c r="B3" s="145" t="s">
        <v>0</v>
      </c>
      <c r="C3" s="146"/>
      <c r="D3" s="146"/>
      <c r="E3" s="146"/>
      <c r="F3" s="146"/>
      <c r="G3" s="146"/>
      <c r="H3" s="146"/>
      <c r="I3" s="146"/>
      <c r="J3" s="146"/>
      <c r="K3" s="146"/>
      <c r="L3" s="147"/>
    </row>
    <row r="4" spans="2:12" ht="15.75" thickBot="1" x14ac:dyDescent="0.3">
      <c r="B4" s="1" t="s">
        <v>1</v>
      </c>
      <c r="C4" s="2">
        <v>0</v>
      </c>
      <c r="D4" s="2">
        <v>1</v>
      </c>
      <c r="E4" s="2">
        <v>2</v>
      </c>
      <c r="F4" s="2">
        <v>3</v>
      </c>
      <c r="G4" s="2">
        <v>4</v>
      </c>
      <c r="H4" s="2">
        <v>5</v>
      </c>
      <c r="I4" s="2">
        <v>6</v>
      </c>
      <c r="J4" s="2">
        <v>7</v>
      </c>
      <c r="K4" s="2">
        <v>8</v>
      </c>
      <c r="L4" s="3">
        <v>9</v>
      </c>
    </row>
    <row r="5" spans="2:12" x14ac:dyDescent="0.25">
      <c r="B5" s="4">
        <v>0</v>
      </c>
      <c r="C5" s="5">
        <v>242</v>
      </c>
      <c r="D5" s="6">
        <v>775</v>
      </c>
      <c r="E5" s="6">
        <v>1217</v>
      </c>
      <c r="F5" s="6">
        <v>1584</v>
      </c>
      <c r="G5" s="6">
        <v>1996</v>
      </c>
      <c r="H5" s="6">
        <v>2459</v>
      </c>
      <c r="I5" s="6">
        <v>2616</v>
      </c>
      <c r="J5" s="6">
        <v>2774</v>
      </c>
      <c r="K5" s="6">
        <v>3006</v>
      </c>
      <c r="L5" s="7">
        <v>3121</v>
      </c>
    </row>
    <row r="6" spans="2:12" x14ac:dyDescent="0.25">
      <c r="B6" s="4">
        <v>1</v>
      </c>
      <c r="C6" s="8">
        <v>238</v>
      </c>
      <c r="D6" s="9">
        <v>852</v>
      </c>
      <c r="E6" s="9">
        <v>1522</v>
      </c>
      <c r="F6" s="9">
        <v>2395</v>
      </c>
      <c r="G6" s="9">
        <v>2762</v>
      </c>
      <c r="H6" s="9">
        <v>3051</v>
      </c>
      <c r="I6" s="9">
        <v>3507</v>
      </c>
      <c r="J6" s="9">
        <v>3780</v>
      </c>
      <c r="K6" s="9">
        <v>4187</v>
      </c>
      <c r="L6" s="10" t="s">
        <v>2</v>
      </c>
    </row>
    <row r="7" spans="2:12" x14ac:dyDescent="0.25">
      <c r="B7" s="4">
        <v>2</v>
      </c>
      <c r="C7" s="8">
        <v>196</v>
      </c>
      <c r="D7" s="9">
        <v>891</v>
      </c>
      <c r="E7" s="9">
        <v>1556</v>
      </c>
      <c r="F7" s="9">
        <v>2310</v>
      </c>
      <c r="G7" s="9">
        <v>2898</v>
      </c>
      <c r="H7" s="9">
        <v>3061</v>
      </c>
      <c r="I7" s="9">
        <v>3493</v>
      </c>
      <c r="J7" s="9">
        <v>3776</v>
      </c>
      <c r="K7" s="9" t="s">
        <v>2</v>
      </c>
      <c r="L7" s="10" t="s">
        <v>2</v>
      </c>
    </row>
    <row r="8" spans="2:12" x14ac:dyDescent="0.25">
      <c r="B8" s="4">
        <v>3</v>
      </c>
      <c r="C8" s="8">
        <v>210</v>
      </c>
      <c r="D8" s="9">
        <v>978</v>
      </c>
      <c r="E8" s="9">
        <v>1540</v>
      </c>
      <c r="F8" s="9">
        <v>2683</v>
      </c>
      <c r="G8" s="9">
        <v>2930</v>
      </c>
      <c r="H8" s="9">
        <v>3245</v>
      </c>
      <c r="I8" s="9">
        <v>3462</v>
      </c>
      <c r="J8" s="9" t="s">
        <v>2</v>
      </c>
      <c r="K8" s="9" t="s">
        <v>2</v>
      </c>
      <c r="L8" s="10" t="s">
        <v>2</v>
      </c>
    </row>
    <row r="9" spans="2:12" x14ac:dyDescent="0.25">
      <c r="B9" s="4">
        <v>4</v>
      </c>
      <c r="C9" s="8">
        <v>300</v>
      </c>
      <c r="D9" s="9">
        <v>783</v>
      </c>
      <c r="E9" s="9">
        <v>1493</v>
      </c>
      <c r="F9" s="9">
        <v>2069</v>
      </c>
      <c r="G9" s="9">
        <v>2474</v>
      </c>
      <c r="H9" s="9">
        <v>2869</v>
      </c>
      <c r="I9" s="9" t="s">
        <v>2</v>
      </c>
      <c r="J9" s="9" t="s">
        <v>2</v>
      </c>
      <c r="K9" s="9" t="s">
        <v>2</v>
      </c>
      <c r="L9" s="10" t="s">
        <v>2</v>
      </c>
    </row>
    <row r="10" spans="2:12" x14ac:dyDescent="0.25">
      <c r="B10" s="4">
        <v>5</v>
      </c>
      <c r="C10" s="8">
        <v>268</v>
      </c>
      <c r="D10" s="9">
        <v>919</v>
      </c>
      <c r="E10" s="9">
        <v>1530</v>
      </c>
      <c r="F10" s="9">
        <v>2132</v>
      </c>
      <c r="G10" s="9">
        <v>2684</v>
      </c>
      <c r="H10" s="9" t="s">
        <v>2</v>
      </c>
      <c r="I10" s="9" t="s">
        <v>2</v>
      </c>
      <c r="J10" s="9" t="s">
        <v>2</v>
      </c>
      <c r="K10" s="9" t="s">
        <v>2</v>
      </c>
      <c r="L10" s="10" t="s">
        <v>2</v>
      </c>
    </row>
    <row r="11" spans="2:12" x14ac:dyDescent="0.25">
      <c r="B11" s="4">
        <v>6</v>
      </c>
      <c r="C11" s="8">
        <v>298</v>
      </c>
      <c r="D11" s="9">
        <v>888</v>
      </c>
      <c r="E11" s="9">
        <v>1698</v>
      </c>
      <c r="F11" s="9">
        <v>2487</v>
      </c>
      <c r="G11" s="9" t="s">
        <v>2</v>
      </c>
      <c r="H11" s="9" t="s">
        <v>2</v>
      </c>
      <c r="I11" s="9" t="s">
        <v>2</v>
      </c>
      <c r="J11" s="9" t="s">
        <v>2</v>
      </c>
      <c r="K11" s="9" t="s">
        <v>2</v>
      </c>
      <c r="L11" s="10" t="s">
        <v>2</v>
      </c>
    </row>
    <row r="12" spans="2:12" x14ac:dyDescent="0.25">
      <c r="B12" s="4">
        <v>7</v>
      </c>
      <c r="C12" s="8">
        <v>243</v>
      </c>
      <c r="D12" s="9">
        <v>980</v>
      </c>
      <c r="E12" s="9">
        <v>2010</v>
      </c>
      <c r="F12" s="9" t="s">
        <v>2</v>
      </c>
      <c r="G12" s="9" t="s">
        <v>2</v>
      </c>
      <c r="H12" s="9" t="s">
        <v>2</v>
      </c>
      <c r="I12" s="9" t="s">
        <v>2</v>
      </c>
      <c r="J12" s="9" t="s">
        <v>2</v>
      </c>
      <c r="K12" s="9" t="s">
        <v>2</v>
      </c>
      <c r="L12" s="10" t="s">
        <v>2</v>
      </c>
    </row>
    <row r="13" spans="2:12" x14ac:dyDescent="0.25">
      <c r="B13" s="4">
        <v>8</v>
      </c>
      <c r="C13" s="8">
        <v>255</v>
      </c>
      <c r="D13" s="9">
        <v>940</v>
      </c>
      <c r="E13" s="9" t="s">
        <v>2</v>
      </c>
      <c r="F13" s="9" t="s">
        <v>2</v>
      </c>
      <c r="G13" s="9" t="s">
        <v>2</v>
      </c>
      <c r="H13" s="9" t="s">
        <v>2</v>
      </c>
      <c r="I13" s="9" t="s">
        <v>2</v>
      </c>
      <c r="J13" s="9" t="s">
        <v>2</v>
      </c>
      <c r="K13" s="9" t="s">
        <v>2</v>
      </c>
      <c r="L13" s="10" t="s">
        <v>2</v>
      </c>
    </row>
    <row r="14" spans="2:12" ht="15.75" thickBot="1" x14ac:dyDescent="0.3">
      <c r="B14" s="11">
        <v>9</v>
      </c>
      <c r="C14" s="12">
        <v>233</v>
      </c>
      <c r="D14" s="13" t="s">
        <v>2</v>
      </c>
      <c r="E14" s="13" t="s">
        <v>2</v>
      </c>
      <c r="F14" s="13" t="s">
        <v>2</v>
      </c>
      <c r="G14" s="13" t="s">
        <v>2</v>
      </c>
      <c r="H14" s="13" t="s">
        <v>2</v>
      </c>
      <c r="I14" s="13" t="s">
        <v>2</v>
      </c>
      <c r="J14" s="13" t="s">
        <v>2</v>
      </c>
      <c r="K14" s="13" t="s">
        <v>2</v>
      </c>
      <c r="L14" s="14" t="s">
        <v>2</v>
      </c>
    </row>
    <row r="16" spans="2:12" ht="15.75" thickBot="1" x14ac:dyDescent="0.3"/>
    <row r="17" spans="2:37" ht="15.75" thickBot="1" x14ac:dyDescent="0.3">
      <c r="B17" s="139" t="s">
        <v>8</v>
      </c>
      <c r="C17" s="140"/>
      <c r="D17" s="140"/>
      <c r="E17" s="140"/>
      <c r="F17" s="140"/>
      <c r="G17" s="140"/>
      <c r="H17" s="140"/>
      <c r="I17" s="140"/>
      <c r="J17" s="140"/>
      <c r="K17" s="140"/>
      <c r="L17" s="141"/>
    </row>
    <row r="18" spans="2:37" ht="15.75" thickBot="1" x14ac:dyDescent="0.3">
      <c r="B18" s="42" t="s">
        <v>1</v>
      </c>
      <c r="C18" s="71">
        <v>0</v>
      </c>
      <c r="D18" s="72">
        <v>1</v>
      </c>
      <c r="E18" s="72">
        <v>2</v>
      </c>
      <c r="F18" s="72">
        <v>3</v>
      </c>
      <c r="G18" s="72">
        <v>4</v>
      </c>
      <c r="H18" s="72">
        <v>5</v>
      </c>
      <c r="I18" s="72">
        <v>6</v>
      </c>
      <c r="J18" s="72">
        <v>7</v>
      </c>
      <c r="K18" s="72">
        <v>8</v>
      </c>
      <c r="L18" s="73">
        <v>9</v>
      </c>
      <c r="O18" s="139" t="s">
        <v>38</v>
      </c>
      <c r="P18" s="140"/>
      <c r="Q18" s="140"/>
      <c r="R18" s="140"/>
      <c r="S18" s="140"/>
      <c r="T18" s="140"/>
      <c r="U18" s="140"/>
      <c r="V18" s="140"/>
      <c r="W18" s="140"/>
      <c r="X18" s="140"/>
      <c r="Y18" s="141"/>
    </row>
    <row r="19" spans="2:37" ht="15.75" thickBot="1" x14ac:dyDescent="0.3">
      <c r="B19" s="74" t="s">
        <v>3</v>
      </c>
      <c r="C19" s="75">
        <f>SUM(D5:D13)/SUM(C5:C13)</f>
        <v>3.5582222222222222</v>
      </c>
      <c r="D19" s="76">
        <f>SUM(E5:E12)/SUM(D5:D12)</f>
        <v>1.7783753184262667</v>
      </c>
      <c r="E19" s="76">
        <f>SUM(F5:F11)/SUM(E5:E11)</f>
        <v>1.4835164835164836</v>
      </c>
      <c r="F19" s="76">
        <f>SUM(G5:G10)/SUM(F5:F10)</f>
        <v>1.1951719426098839</v>
      </c>
      <c r="G19" s="76">
        <f>SUM(H5:H9)/SUM(G5:G9)</f>
        <v>1.1244257274119449</v>
      </c>
      <c r="H19" s="76">
        <f>SUM(I5:I8)/SUM(H5:H8)</f>
        <v>1.1068043331076507</v>
      </c>
      <c r="I19" s="76">
        <f>SUM(J5:J7)/SUM(I5:I7)</f>
        <v>1.0742512479201332</v>
      </c>
      <c r="J19" s="76">
        <f>SUM(K5:K6)/SUM(J5:J6)</f>
        <v>1.0974977113213304</v>
      </c>
      <c r="K19" s="76">
        <f>SUM(L5)/SUM(K5)</f>
        <v>1.0382568196939455</v>
      </c>
      <c r="L19" s="77">
        <v>1</v>
      </c>
      <c r="O19" s="42" t="s">
        <v>1</v>
      </c>
      <c r="P19" s="71">
        <v>0</v>
      </c>
      <c r="Q19" s="72">
        <v>1</v>
      </c>
      <c r="R19" s="72">
        <v>2</v>
      </c>
      <c r="S19" s="72">
        <v>3</v>
      </c>
      <c r="T19" s="72">
        <v>4</v>
      </c>
      <c r="U19" s="72">
        <v>5</v>
      </c>
      <c r="V19" s="72">
        <v>6</v>
      </c>
      <c r="W19" s="72">
        <v>7</v>
      </c>
      <c r="X19" s="72">
        <v>8</v>
      </c>
      <c r="Y19" s="73">
        <v>9</v>
      </c>
    </row>
    <row r="20" spans="2:37" ht="15.75" thickBot="1" x14ac:dyDescent="0.3">
      <c r="B20" s="40" t="s">
        <v>4</v>
      </c>
      <c r="C20" s="78">
        <f t="shared" ref="C20:J20" si="0">C19*D20</f>
        <v>17.092089668581622</v>
      </c>
      <c r="D20" s="79">
        <f t="shared" si="0"/>
        <v>4.8035475586196164</v>
      </c>
      <c r="E20" s="79">
        <f t="shared" si="0"/>
        <v>2.7010876212960535</v>
      </c>
      <c r="F20" s="79">
        <f t="shared" si="0"/>
        <v>1.8207331373180804</v>
      </c>
      <c r="G20" s="79">
        <f t="shared" si="0"/>
        <v>1.5234068608924716</v>
      </c>
      <c r="H20" s="79">
        <f t="shared" si="0"/>
        <v>1.3548310250769955</v>
      </c>
      <c r="I20" s="79">
        <f t="shared" si="0"/>
        <v>1.2240926282543032</v>
      </c>
      <c r="J20" s="79">
        <f t="shared" si="0"/>
        <v>1.1394844833778683</v>
      </c>
      <c r="K20" s="79">
        <f>K19*L20</f>
        <v>1.0382568196939455</v>
      </c>
      <c r="L20" s="80">
        <f>L19</f>
        <v>1</v>
      </c>
      <c r="O20" s="43" t="s">
        <v>34</v>
      </c>
      <c r="P20" s="85">
        <f>P34/Y34</f>
        <v>5.8506596875523204E-2</v>
      </c>
      <c r="Q20" s="82">
        <f>Q33/Y33</f>
        <v>0.20817947314908392</v>
      </c>
      <c r="R20" s="82">
        <f>R32/Y32</f>
        <v>0.37022123685131453</v>
      </c>
      <c r="S20" s="82">
        <f>S31/Y31</f>
        <v>0.54922930741678533</v>
      </c>
      <c r="T20" s="82">
        <f>T30/Y30</f>
        <v>0.65642345828360038</v>
      </c>
      <c r="U20" s="82">
        <f>U29/Y29</f>
        <v>0.73809942457080191</v>
      </c>
      <c r="V20" s="82">
        <f>V28/Y28</f>
        <v>0.81693164137922702</v>
      </c>
      <c r="W20" s="82">
        <f>W27/Y27</f>
        <v>0.87758983521707734</v>
      </c>
      <c r="X20" s="82">
        <f>X26/Y26</f>
        <v>0.96315283562960596</v>
      </c>
      <c r="Y20" s="83">
        <f>Y25/Y25</f>
        <v>1</v>
      </c>
    </row>
    <row r="21" spans="2:37" ht="15.75" thickBot="1" x14ac:dyDescent="0.3"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</row>
    <row r="22" spans="2:37" ht="15.75" thickBot="1" x14ac:dyDescent="0.3">
      <c r="B22" s="139" t="s">
        <v>5</v>
      </c>
      <c r="C22" s="140"/>
      <c r="D22" s="140"/>
      <c r="E22" s="140"/>
      <c r="F22" s="140"/>
      <c r="G22" s="140"/>
      <c r="H22" s="140"/>
      <c r="I22" s="140"/>
      <c r="J22" s="140"/>
      <c r="K22" s="140"/>
      <c r="L22" s="141"/>
      <c r="O22" s="139" t="s">
        <v>22</v>
      </c>
      <c r="P22" s="140"/>
      <c r="Q22" s="140"/>
      <c r="R22" s="140"/>
      <c r="S22" s="140"/>
      <c r="T22" s="140"/>
      <c r="U22" s="140"/>
      <c r="V22" s="140"/>
      <c r="W22" s="140"/>
      <c r="X22" s="140"/>
      <c r="Y22" s="141"/>
      <c r="AA22" s="139" t="s">
        <v>36</v>
      </c>
      <c r="AB22" s="140"/>
      <c r="AC22" s="140"/>
      <c r="AD22" s="140"/>
      <c r="AE22" s="140"/>
      <c r="AF22" s="140"/>
      <c r="AG22" s="140"/>
      <c r="AH22" s="140"/>
      <c r="AI22" s="140"/>
      <c r="AJ22" s="140"/>
      <c r="AK22" s="141"/>
    </row>
    <row r="23" spans="2:37" ht="16.5" thickBot="1" x14ac:dyDescent="0.3">
      <c r="B23" s="142" t="s">
        <v>11</v>
      </c>
      <c r="C23" s="143"/>
      <c r="D23" s="143"/>
      <c r="E23" s="143"/>
      <c r="F23" s="143"/>
      <c r="G23" s="143"/>
      <c r="H23" s="143"/>
      <c r="I23" s="143"/>
      <c r="J23" s="143"/>
      <c r="K23" s="143"/>
      <c r="L23" s="144"/>
      <c r="O23" s="145" t="s">
        <v>0</v>
      </c>
      <c r="P23" s="146"/>
      <c r="Q23" s="146"/>
      <c r="R23" s="146"/>
      <c r="S23" s="146"/>
      <c r="T23" s="146"/>
      <c r="U23" s="146"/>
      <c r="V23" s="146"/>
      <c r="W23" s="146"/>
      <c r="X23" s="146"/>
      <c r="Y23" s="147"/>
      <c r="AA23" s="145" t="s">
        <v>0</v>
      </c>
      <c r="AB23" s="146"/>
      <c r="AC23" s="146"/>
      <c r="AD23" s="146"/>
      <c r="AE23" s="146"/>
      <c r="AF23" s="146"/>
      <c r="AG23" s="146"/>
      <c r="AH23" s="146"/>
      <c r="AI23" s="146"/>
      <c r="AJ23" s="146"/>
      <c r="AK23" s="147"/>
    </row>
    <row r="24" spans="2:37" ht="15.75" thickBot="1" x14ac:dyDescent="0.3">
      <c r="B24" s="17" t="s">
        <v>1</v>
      </c>
      <c r="C24" s="16">
        <v>0</v>
      </c>
      <c r="D24" s="2">
        <v>1</v>
      </c>
      <c r="E24" s="2">
        <v>2</v>
      </c>
      <c r="F24" s="2">
        <v>3</v>
      </c>
      <c r="G24" s="2">
        <v>4</v>
      </c>
      <c r="H24" s="2">
        <v>5</v>
      </c>
      <c r="I24" s="2">
        <v>6</v>
      </c>
      <c r="J24" s="2">
        <v>7</v>
      </c>
      <c r="K24" s="2">
        <v>8</v>
      </c>
      <c r="L24" s="3">
        <v>9</v>
      </c>
      <c r="O24" s="1" t="s">
        <v>1</v>
      </c>
      <c r="P24" s="2">
        <v>0</v>
      </c>
      <c r="Q24" s="2">
        <v>1</v>
      </c>
      <c r="R24" s="2">
        <v>2</v>
      </c>
      <c r="S24" s="2">
        <v>3</v>
      </c>
      <c r="T24" s="2">
        <v>4</v>
      </c>
      <c r="U24" s="2">
        <v>5</v>
      </c>
      <c r="V24" s="2">
        <v>6</v>
      </c>
      <c r="W24" s="2">
        <v>7</v>
      </c>
      <c r="X24" s="2">
        <v>8</v>
      </c>
      <c r="Y24" s="3">
        <v>9</v>
      </c>
      <c r="AA24" s="1" t="s">
        <v>1</v>
      </c>
      <c r="AB24" s="2">
        <v>0</v>
      </c>
      <c r="AC24" s="2">
        <v>1</v>
      </c>
      <c r="AD24" s="2">
        <v>2</v>
      </c>
      <c r="AE24" s="2">
        <v>3</v>
      </c>
      <c r="AF24" s="2">
        <v>4</v>
      </c>
      <c r="AG24" s="2">
        <v>5</v>
      </c>
      <c r="AH24" s="2">
        <v>6</v>
      </c>
      <c r="AI24" s="2">
        <v>7</v>
      </c>
      <c r="AJ24" s="2">
        <v>8</v>
      </c>
      <c r="AK24" s="3">
        <v>9</v>
      </c>
    </row>
    <row r="25" spans="2:37" x14ac:dyDescent="0.25">
      <c r="B25" s="18">
        <v>0</v>
      </c>
      <c r="C25" s="15">
        <f t="shared" ref="C25:K25" si="1">D25/C19</f>
        <v>182.5990888485079</v>
      </c>
      <c r="D25" s="15">
        <f t="shared" si="1"/>
        <v>649.72813569829077</v>
      </c>
      <c r="E25" s="15">
        <f t="shared" si="1"/>
        <v>1155.4604802129525</v>
      </c>
      <c r="F25" s="15">
        <f t="shared" si="1"/>
        <v>1714.1446684477867</v>
      </c>
      <c r="G25" s="15">
        <f t="shared" si="1"/>
        <v>2048.6976133031167</v>
      </c>
      <c r="H25" s="15">
        <f t="shared" si="1"/>
        <v>2303.6083040854724</v>
      </c>
      <c r="I25" s="15">
        <f t="shared" si="1"/>
        <v>2549.6436527445676</v>
      </c>
      <c r="J25" s="15">
        <f t="shared" si="1"/>
        <v>2738.9578757124982</v>
      </c>
      <c r="K25" s="15">
        <f t="shared" si="1"/>
        <v>3006</v>
      </c>
      <c r="L25" s="26">
        <f>L5</f>
        <v>3121</v>
      </c>
      <c r="O25" s="4">
        <v>0</v>
      </c>
      <c r="P25" s="5">
        <v>242</v>
      </c>
      <c r="Q25" s="86">
        <v>775</v>
      </c>
      <c r="R25" s="86">
        <v>1217</v>
      </c>
      <c r="S25" s="86">
        <v>1584</v>
      </c>
      <c r="T25" s="86">
        <v>1996</v>
      </c>
      <c r="U25" s="86">
        <v>2459</v>
      </c>
      <c r="V25" s="86">
        <v>2616</v>
      </c>
      <c r="W25" s="86">
        <v>2774</v>
      </c>
      <c r="X25" s="86">
        <v>3006</v>
      </c>
      <c r="Y25" s="92">
        <f>L25*L20</f>
        <v>3121</v>
      </c>
      <c r="AA25" s="4">
        <v>0</v>
      </c>
      <c r="AB25" s="5"/>
      <c r="AC25" s="86"/>
      <c r="AD25" s="86"/>
      <c r="AE25" s="86"/>
      <c r="AF25" s="86"/>
      <c r="AG25" s="86"/>
      <c r="AH25" s="86"/>
      <c r="AI25" s="86"/>
      <c r="AJ25" s="86"/>
      <c r="AK25" s="92">
        <f>Y25-Y25</f>
        <v>0</v>
      </c>
    </row>
    <row r="26" spans="2:37" x14ac:dyDescent="0.25">
      <c r="B26" s="18">
        <v>1</v>
      </c>
      <c r="C26" s="27">
        <f t="shared" ref="C26:J26" si="2">D26/C19</f>
        <v>254.33878410136478</v>
      </c>
      <c r="D26" s="27">
        <f t="shared" si="2"/>
        <v>904.99391356245621</v>
      </c>
      <c r="E26" s="27">
        <f t="shared" si="2"/>
        <v>1609.4188392054664</v>
      </c>
      <c r="F26" s="27">
        <f t="shared" si="2"/>
        <v>2387.5993768432745</v>
      </c>
      <c r="G26" s="27">
        <f t="shared" si="2"/>
        <v>2853.5917853959245</v>
      </c>
      <c r="H26" s="27">
        <f t="shared" si="2"/>
        <v>3208.6520190305632</v>
      </c>
      <c r="I26" s="27">
        <f t="shared" si="2"/>
        <v>3551.3499580976395</v>
      </c>
      <c r="J26" s="27">
        <f t="shared" si="2"/>
        <v>3815.0421242875018</v>
      </c>
      <c r="K26" s="27">
        <f>K6</f>
        <v>4187</v>
      </c>
      <c r="L26" s="28"/>
      <c r="O26" s="4">
        <v>1</v>
      </c>
      <c r="P26" s="8">
        <v>238</v>
      </c>
      <c r="Q26" s="87">
        <v>852</v>
      </c>
      <c r="R26" s="87">
        <v>1522</v>
      </c>
      <c r="S26" s="87">
        <v>2395</v>
      </c>
      <c r="T26" s="87">
        <v>2762</v>
      </c>
      <c r="U26" s="87">
        <v>3051</v>
      </c>
      <c r="V26" s="87">
        <v>3507</v>
      </c>
      <c r="W26" s="87">
        <v>3780</v>
      </c>
      <c r="X26" s="87">
        <v>4187</v>
      </c>
      <c r="Y26" s="88">
        <f>K26*K20</f>
        <v>4347.1813040585494</v>
      </c>
      <c r="AA26" s="4">
        <v>1</v>
      </c>
      <c r="AB26" s="8"/>
      <c r="AC26" s="87"/>
      <c r="AD26" s="87"/>
      <c r="AE26" s="87"/>
      <c r="AF26" s="87"/>
      <c r="AG26" s="87"/>
      <c r="AH26" s="87"/>
      <c r="AI26" s="87"/>
      <c r="AJ26" s="87"/>
      <c r="AK26" s="88">
        <f>Y26-X26</f>
        <v>160.18130405854936</v>
      </c>
    </row>
    <row r="27" spans="2:37" x14ac:dyDescent="0.25">
      <c r="B27" s="18">
        <v>2</v>
      </c>
      <c r="C27" s="27">
        <f t="shared" ref="C27:I27" si="3">D27/C19</f>
        <v>251.73594877307283</v>
      </c>
      <c r="D27" s="27">
        <f t="shared" si="3"/>
        <v>895.7324470565427</v>
      </c>
      <c r="E27" s="27">
        <f t="shared" si="3"/>
        <v>1592.9484757589182</v>
      </c>
      <c r="F27" s="27">
        <f t="shared" si="3"/>
        <v>2363.165321180813</v>
      </c>
      <c r="G27" s="27">
        <f t="shared" si="3"/>
        <v>2824.3888876239826</v>
      </c>
      <c r="H27" s="27">
        <f t="shared" si="3"/>
        <v>3175.8155294608105</v>
      </c>
      <c r="I27" s="27">
        <f t="shared" si="3"/>
        <v>3515.0063891577929</v>
      </c>
      <c r="J27" s="27">
        <f>J7</f>
        <v>3776</v>
      </c>
      <c r="K27" s="27"/>
      <c r="L27" s="28"/>
      <c r="O27" s="4">
        <v>2</v>
      </c>
      <c r="P27" s="8">
        <v>196</v>
      </c>
      <c r="Q27" s="87">
        <v>891</v>
      </c>
      <c r="R27" s="87">
        <v>1556</v>
      </c>
      <c r="S27" s="87">
        <v>2310</v>
      </c>
      <c r="T27" s="87">
        <v>2898</v>
      </c>
      <c r="U27" s="87">
        <v>3061</v>
      </c>
      <c r="V27" s="87">
        <v>3493</v>
      </c>
      <c r="W27" s="87">
        <v>3776</v>
      </c>
      <c r="X27" s="89">
        <f>X20*Y27</f>
        <v>4144.1513579493439</v>
      </c>
      <c r="Y27" s="88">
        <f>J27*J20</f>
        <v>4302.6934092348311</v>
      </c>
      <c r="AA27" s="4">
        <v>2</v>
      </c>
      <c r="AB27" s="8"/>
      <c r="AC27" s="87"/>
      <c r="AD27" s="87"/>
      <c r="AE27" s="87"/>
      <c r="AF27" s="87"/>
      <c r="AG27" s="87"/>
      <c r="AH27" s="87"/>
      <c r="AI27" s="87"/>
      <c r="AJ27" s="89">
        <f>X27-W27</f>
        <v>368.15135794934395</v>
      </c>
      <c r="AK27" s="88">
        <f t="shared" ref="AK27:AK34" si="4">Y27-X27</f>
        <v>158.5420512854871</v>
      </c>
    </row>
    <row r="28" spans="2:37" x14ac:dyDescent="0.25">
      <c r="B28" s="18">
        <v>3</v>
      </c>
      <c r="C28" s="27">
        <f t="shared" ref="C28:H28" si="5">D28/C19</f>
        <v>247.93976401880587</v>
      </c>
      <c r="D28" s="27">
        <f t="shared" si="5"/>
        <v>882.2247781042488</v>
      </c>
      <c r="E28" s="27">
        <f t="shared" si="5"/>
        <v>1568.9267706846861</v>
      </c>
      <c r="F28" s="27">
        <f t="shared" si="5"/>
        <v>2327.5287257410178</v>
      </c>
      <c r="G28" s="27">
        <f t="shared" si="5"/>
        <v>2781.7970286241998</v>
      </c>
      <c r="H28" s="27">
        <f t="shared" si="5"/>
        <v>3127.924147423153</v>
      </c>
      <c r="I28" s="27">
        <f>I8</f>
        <v>3462</v>
      </c>
      <c r="J28" s="27"/>
      <c r="K28" s="27"/>
      <c r="L28" s="28"/>
      <c r="O28" s="4">
        <v>3</v>
      </c>
      <c r="P28" s="8">
        <v>210</v>
      </c>
      <c r="Q28" s="87">
        <v>978</v>
      </c>
      <c r="R28" s="87">
        <v>1540</v>
      </c>
      <c r="S28" s="87">
        <v>2683</v>
      </c>
      <c r="T28" s="87">
        <v>2930</v>
      </c>
      <c r="U28" s="87">
        <v>3245</v>
      </c>
      <c r="V28" s="87">
        <v>3462</v>
      </c>
      <c r="W28" s="89">
        <f>W20*$Y$28</f>
        <v>3719.0578202995007</v>
      </c>
      <c r="X28" s="89">
        <f>X20*$Y$28</f>
        <v>4081.6574460503984</v>
      </c>
      <c r="Y28" s="88">
        <f>I28*I20</f>
        <v>4237.8086790163979</v>
      </c>
      <c r="AA28" s="4">
        <v>3</v>
      </c>
      <c r="AB28" s="8"/>
      <c r="AC28" s="87"/>
      <c r="AD28" s="87"/>
      <c r="AE28" s="87"/>
      <c r="AF28" s="87"/>
      <c r="AG28" s="87"/>
      <c r="AH28" s="87"/>
      <c r="AI28" s="89">
        <f>W28-V28</f>
        <v>257.05782029950069</v>
      </c>
      <c r="AJ28" s="89">
        <f>X28-W28</f>
        <v>362.59962575089776</v>
      </c>
      <c r="AK28" s="88">
        <f t="shared" si="4"/>
        <v>156.1512329659995</v>
      </c>
    </row>
    <row r="29" spans="2:37" x14ac:dyDescent="0.25">
      <c r="B29" s="18">
        <v>4</v>
      </c>
      <c r="C29" s="27">
        <f>D29/C19</f>
        <v>227.41573946285416</v>
      </c>
      <c r="D29" s="27">
        <f>E29/D19</f>
        <v>809.19573783982685</v>
      </c>
      <c r="E29" s="27">
        <f>F29/E19</f>
        <v>1439.05372795008</v>
      </c>
      <c r="F29" s="27">
        <f>G29/F19</f>
        <v>2134.8599260797891</v>
      </c>
      <c r="G29" s="27">
        <f>H29/G19</f>
        <v>2551.5246850527747</v>
      </c>
      <c r="H29" s="27">
        <f>H9</f>
        <v>2869</v>
      </c>
      <c r="I29" s="27"/>
      <c r="J29" s="27"/>
      <c r="K29" s="27"/>
      <c r="L29" s="28"/>
      <c r="O29" s="4">
        <v>4</v>
      </c>
      <c r="P29" s="8">
        <v>300</v>
      </c>
      <c r="Q29" s="87">
        <v>783</v>
      </c>
      <c r="R29" s="87">
        <v>1493</v>
      </c>
      <c r="S29" s="87">
        <v>2069</v>
      </c>
      <c r="T29" s="87">
        <v>2474</v>
      </c>
      <c r="U29" s="87">
        <v>2869</v>
      </c>
      <c r="V29" s="89">
        <f>V20*$Y$29</f>
        <v>3175.4216316858497</v>
      </c>
      <c r="W29" s="89">
        <f t="shared" ref="W29:X29" si="6">W20*$Y$29</f>
        <v>3411.2006505111094</v>
      </c>
      <c r="X29" s="89">
        <f t="shared" si="6"/>
        <v>3743.7849067937764</v>
      </c>
      <c r="Y29" s="88">
        <f>H29*H20</f>
        <v>3887.0102109458999</v>
      </c>
      <c r="AA29" s="4">
        <v>4</v>
      </c>
      <c r="AB29" s="8"/>
      <c r="AC29" s="87"/>
      <c r="AD29" s="87"/>
      <c r="AE29" s="87"/>
      <c r="AF29" s="87"/>
      <c r="AG29" s="87"/>
      <c r="AH29" s="89">
        <f>V29-U29</f>
        <v>306.42163168584966</v>
      </c>
      <c r="AI29" s="89">
        <f t="shared" ref="AI29:AJ29" si="7">W29-V29</f>
        <v>235.77901882525975</v>
      </c>
      <c r="AJ29" s="89">
        <f t="shared" si="7"/>
        <v>332.58425628266696</v>
      </c>
      <c r="AK29" s="88">
        <f t="shared" si="4"/>
        <v>143.2253041521235</v>
      </c>
    </row>
    <row r="30" spans="2:37" x14ac:dyDescent="0.25">
      <c r="B30" s="18">
        <v>5</v>
      </c>
      <c r="C30" s="27">
        <f>D30/C19</f>
        <v>239.22317831923135</v>
      </c>
      <c r="D30" s="27">
        <f>E30/D19</f>
        <v>851.20922916611835</v>
      </c>
      <c r="E30" s="27">
        <f>F30/E19</f>
        <v>1513.7694839656729</v>
      </c>
      <c r="F30" s="27">
        <f>G30/F19</f>
        <v>2245.7019817073169</v>
      </c>
      <c r="G30" s="27">
        <f>G10</f>
        <v>2684</v>
      </c>
      <c r="H30" s="27"/>
      <c r="I30" s="27"/>
      <c r="J30" s="27"/>
      <c r="K30" s="27"/>
      <c r="L30" s="28"/>
      <c r="O30" s="4">
        <v>5</v>
      </c>
      <c r="P30" s="8">
        <v>268</v>
      </c>
      <c r="Q30" s="87">
        <v>919</v>
      </c>
      <c r="R30" s="87">
        <v>1530</v>
      </c>
      <c r="S30" s="87">
        <v>2132</v>
      </c>
      <c r="T30" s="87">
        <v>2684</v>
      </c>
      <c r="U30" s="89">
        <f>U20*$Y$30</f>
        <v>3017.9586523736602</v>
      </c>
      <c r="V30" s="89">
        <f t="shared" ref="V30:X30" si="8">V20*$Y$30</f>
        <v>3340.289713586893</v>
      </c>
      <c r="W30" s="89">
        <f t="shared" si="8"/>
        <v>3588.3103932355039</v>
      </c>
      <c r="X30" s="89">
        <f t="shared" si="8"/>
        <v>3938.1624440865089</v>
      </c>
      <c r="Y30" s="88">
        <f>G30*G20</f>
        <v>4088.8240146353937</v>
      </c>
      <c r="AA30" s="4">
        <v>5</v>
      </c>
      <c r="AB30" s="8"/>
      <c r="AC30" s="87"/>
      <c r="AD30" s="87"/>
      <c r="AE30" s="87"/>
      <c r="AF30" s="87"/>
      <c r="AG30" s="89">
        <f>U30-T30</f>
        <v>333.95865237366024</v>
      </c>
      <c r="AH30" s="89">
        <f t="shared" ref="AH30:AJ30" si="9">V30-U30</f>
        <v>322.33106121323272</v>
      </c>
      <c r="AI30" s="89">
        <f t="shared" si="9"/>
        <v>248.02067964861089</v>
      </c>
      <c r="AJ30" s="89">
        <f t="shared" si="9"/>
        <v>349.85205085100506</v>
      </c>
      <c r="AK30" s="88">
        <f t="shared" si="4"/>
        <v>150.66157054888481</v>
      </c>
    </row>
    <row r="31" spans="2:37" x14ac:dyDescent="0.25">
      <c r="B31" s="18">
        <v>6</v>
      </c>
      <c r="C31" s="27">
        <f>D31/C19</f>
        <v>264.92742551156027</v>
      </c>
      <c r="D31" s="27">
        <f>E31/D19</f>
        <v>942.6706527313562</v>
      </c>
      <c r="E31" s="27">
        <f>F31/E19</f>
        <v>1676.4222222222222</v>
      </c>
      <c r="F31" s="27">
        <f>F11</f>
        <v>2487</v>
      </c>
      <c r="G31" s="27"/>
      <c r="H31" s="27"/>
      <c r="I31" s="27"/>
      <c r="J31" s="27"/>
      <c r="K31" s="27"/>
      <c r="L31" s="28"/>
      <c r="O31" s="4">
        <v>6</v>
      </c>
      <c r="P31" s="8">
        <v>298</v>
      </c>
      <c r="Q31" s="87">
        <v>888</v>
      </c>
      <c r="R31" s="87">
        <v>1698</v>
      </c>
      <c r="S31" s="87">
        <v>2487</v>
      </c>
      <c r="T31" s="89">
        <f>T20*$Y$31</f>
        <v>2972.3926212707811</v>
      </c>
      <c r="U31" s="89">
        <f t="shared" ref="U31:X31" si="10">U20*$Y$31</f>
        <v>3342.2347353262962</v>
      </c>
      <c r="V31" s="89">
        <f t="shared" si="10"/>
        <v>3699.1998873220459</v>
      </c>
      <c r="W31" s="89">
        <f t="shared" si="10"/>
        <v>3973.8700952617241</v>
      </c>
      <c r="X31" s="89">
        <f t="shared" si="10"/>
        <v>4361.31333463802</v>
      </c>
      <c r="Y31" s="88">
        <f>F31*F20</f>
        <v>4528.1633125100661</v>
      </c>
      <c r="AA31" s="4">
        <v>6</v>
      </c>
      <c r="AB31" s="8"/>
      <c r="AC31" s="87"/>
      <c r="AD31" s="87"/>
      <c r="AE31" s="87"/>
      <c r="AF31" s="89">
        <f>T31-S31</f>
        <v>485.39262127078109</v>
      </c>
      <c r="AG31" s="89">
        <f t="shared" ref="AG31:AJ31" si="11">U31-T31</f>
        <v>369.84211405551514</v>
      </c>
      <c r="AH31" s="89">
        <f t="shared" si="11"/>
        <v>356.96515199574969</v>
      </c>
      <c r="AI31" s="89">
        <f t="shared" si="11"/>
        <v>274.67020793967822</v>
      </c>
      <c r="AJ31" s="89">
        <f t="shared" si="11"/>
        <v>387.44323937629588</v>
      </c>
      <c r="AK31" s="88">
        <f t="shared" si="4"/>
        <v>166.84997787204611</v>
      </c>
    </row>
    <row r="32" spans="2:37" x14ac:dyDescent="0.25">
      <c r="B32" s="18">
        <v>7</v>
      </c>
      <c r="C32" s="27">
        <f>D32/C19</f>
        <v>317.64320361511454</v>
      </c>
      <c r="D32" s="27">
        <f>E32/D19</f>
        <v>1130.2451058411586</v>
      </c>
      <c r="E32" s="27">
        <f>E12</f>
        <v>2010</v>
      </c>
      <c r="F32" s="27"/>
      <c r="G32" s="27"/>
      <c r="H32" s="27"/>
      <c r="I32" s="27"/>
      <c r="J32" s="27"/>
      <c r="K32" s="27"/>
      <c r="L32" s="28"/>
      <c r="O32" s="4">
        <v>7</v>
      </c>
      <c r="P32" s="8">
        <v>243</v>
      </c>
      <c r="Q32" s="87">
        <v>980</v>
      </c>
      <c r="R32" s="87">
        <v>2010</v>
      </c>
      <c r="S32" s="89">
        <f>S20*$Y$32</f>
        <v>2981.8681318681324</v>
      </c>
      <c r="T32" s="89">
        <f t="shared" ref="T32:X32" si="12">T20*$Y$32</f>
        <v>3563.8451277713407</v>
      </c>
      <c r="U32" s="89">
        <f t="shared" si="12"/>
        <v>4007.2791501778061</v>
      </c>
      <c r="V32" s="89">
        <f t="shared" si="12"/>
        <v>4435.2739273887391</v>
      </c>
      <c r="W32" s="89">
        <f t="shared" si="12"/>
        <v>4764.598551364983</v>
      </c>
      <c r="X32" s="89">
        <f t="shared" si="12"/>
        <v>5229.136005487996</v>
      </c>
      <c r="Y32" s="88">
        <f>E32*E20</f>
        <v>5429.186118805068</v>
      </c>
      <c r="AA32" s="4">
        <v>7</v>
      </c>
      <c r="AB32" s="8"/>
      <c r="AC32" s="87"/>
      <c r="AD32" s="87"/>
      <c r="AE32" s="89">
        <f>S32-R32</f>
        <v>971.86813186813242</v>
      </c>
      <c r="AF32" s="89">
        <f t="shared" ref="AF32:AJ32" si="13">T32-S32</f>
        <v>581.97699590320826</v>
      </c>
      <c r="AG32" s="89">
        <f t="shared" si="13"/>
        <v>443.43402240646537</v>
      </c>
      <c r="AH32" s="89">
        <f t="shared" si="13"/>
        <v>427.99477721093308</v>
      </c>
      <c r="AI32" s="89">
        <f t="shared" si="13"/>
        <v>329.32462397624386</v>
      </c>
      <c r="AJ32" s="89">
        <f t="shared" si="13"/>
        <v>464.53745412301305</v>
      </c>
      <c r="AK32" s="88">
        <f t="shared" si="4"/>
        <v>200.05011331707192</v>
      </c>
    </row>
    <row r="33" spans="2:37" x14ac:dyDescent="0.25">
      <c r="B33" s="18">
        <v>8</v>
      </c>
      <c r="C33" s="27">
        <f>D33/C19</f>
        <v>264.17686734948791</v>
      </c>
      <c r="D33" s="27">
        <f>D13</f>
        <v>940</v>
      </c>
      <c r="E33" s="27"/>
      <c r="F33" s="27"/>
      <c r="G33" s="27"/>
      <c r="H33" s="27"/>
      <c r="I33" s="27"/>
      <c r="J33" s="27"/>
      <c r="K33" s="27"/>
      <c r="L33" s="28"/>
      <c r="O33" s="4">
        <v>8</v>
      </c>
      <c r="P33" s="8">
        <v>255</v>
      </c>
      <c r="Q33" s="87">
        <v>940</v>
      </c>
      <c r="R33" s="89">
        <f>$Y$33*R20</f>
        <v>1671.6727993206907</v>
      </c>
      <c r="S33" s="89">
        <f t="shared" ref="S33:X33" si="14">$Y$33*S20</f>
        <v>2479.9541528383875</v>
      </c>
      <c r="T33" s="89">
        <f t="shared" si="14"/>
        <v>2963.9716224313042</v>
      </c>
      <c r="U33" s="89">
        <f t="shared" si="14"/>
        <v>3332.7659475806822</v>
      </c>
      <c r="V33" s="89">
        <f t="shared" si="14"/>
        <v>3688.7197920159238</v>
      </c>
      <c r="W33" s="89">
        <f t="shared" si="14"/>
        <v>3962.6118398008002</v>
      </c>
      <c r="X33" s="89">
        <f t="shared" si="14"/>
        <v>4348.9574250361848</v>
      </c>
      <c r="Y33" s="88">
        <f>D33*D20</f>
        <v>4515.3347051024393</v>
      </c>
      <c r="AA33" s="4">
        <v>8</v>
      </c>
      <c r="AB33" s="8"/>
      <c r="AC33" s="87"/>
      <c r="AD33" s="89">
        <f>R33-Q33</f>
        <v>731.67279932069073</v>
      </c>
      <c r="AE33" s="89">
        <f t="shared" ref="AE33:AJ33" si="15">S33-R33</f>
        <v>808.28135351769674</v>
      </c>
      <c r="AF33" s="89">
        <f t="shared" si="15"/>
        <v>484.01746959291677</v>
      </c>
      <c r="AG33" s="89">
        <f t="shared" si="15"/>
        <v>368.79432514937798</v>
      </c>
      <c r="AH33" s="89">
        <f t="shared" si="15"/>
        <v>355.95384443524154</v>
      </c>
      <c r="AI33" s="89">
        <f t="shared" si="15"/>
        <v>273.89204778487647</v>
      </c>
      <c r="AJ33" s="89">
        <f t="shared" si="15"/>
        <v>386.34558523538453</v>
      </c>
      <c r="AK33" s="88">
        <f t="shared" si="4"/>
        <v>166.37728006625457</v>
      </c>
    </row>
    <row r="34" spans="2:37" ht="15.75" thickBot="1" x14ac:dyDescent="0.3">
      <c r="B34" s="19">
        <v>9</v>
      </c>
      <c r="C34" s="29">
        <f>C14</f>
        <v>233</v>
      </c>
      <c r="D34" s="29"/>
      <c r="E34" s="29"/>
      <c r="F34" s="29"/>
      <c r="G34" s="29"/>
      <c r="H34" s="29"/>
      <c r="I34" s="29"/>
      <c r="J34" s="29"/>
      <c r="K34" s="29"/>
      <c r="L34" s="30"/>
      <c r="O34" s="11">
        <v>9</v>
      </c>
      <c r="P34" s="12">
        <v>233</v>
      </c>
      <c r="Q34" s="90">
        <f>$Y$34*Q20</f>
        <v>829.06577777777784</v>
      </c>
      <c r="R34" s="90">
        <f t="shared" ref="R34:X34" si="16">$Y$34*R20</f>
        <v>1474.390116551876</v>
      </c>
      <c r="S34" s="90">
        <f t="shared" si="16"/>
        <v>2187.2820410384975</v>
      </c>
      <c r="T34" s="90">
        <f t="shared" si="16"/>
        <v>2614.1781260236926</v>
      </c>
      <c r="U34" s="90">
        <f t="shared" si="16"/>
        <v>2939.449140938586</v>
      </c>
      <c r="V34" s="90">
        <f t="shared" si="16"/>
        <v>3253.3950461403879</v>
      </c>
      <c r="W34" s="90">
        <f t="shared" si="16"/>
        <v>3494.963688293491</v>
      </c>
      <c r="X34" s="90">
        <f t="shared" si="16"/>
        <v>3835.7146490532623</v>
      </c>
      <c r="Y34" s="91">
        <f>C34*C20</f>
        <v>3982.4568927795181</v>
      </c>
      <c r="AA34" s="11">
        <v>9</v>
      </c>
      <c r="AB34" s="12"/>
      <c r="AC34" s="90">
        <f>Q34-P34</f>
        <v>596.06577777777784</v>
      </c>
      <c r="AD34" s="90">
        <f t="shared" ref="AD34:AJ34" si="17">R34-Q34</f>
        <v>645.32433877409812</v>
      </c>
      <c r="AE34" s="90">
        <f t="shared" si="17"/>
        <v>712.89192448662152</v>
      </c>
      <c r="AF34" s="90">
        <f t="shared" si="17"/>
        <v>426.8960849851951</v>
      </c>
      <c r="AG34" s="90">
        <f t="shared" si="17"/>
        <v>325.27101491489339</v>
      </c>
      <c r="AH34" s="90">
        <f t="shared" si="17"/>
        <v>313.94590520180191</v>
      </c>
      <c r="AI34" s="90">
        <f t="shared" si="17"/>
        <v>241.56864215310316</v>
      </c>
      <c r="AJ34" s="90">
        <f t="shared" si="17"/>
        <v>340.75096075977126</v>
      </c>
      <c r="AK34" s="91">
        <f t="shared" si="4"/>
        <v>146.74224372625577</v>
      </c>
    </row>
    <row r="35" spans="2:37" ht="15.75" thickBot="1" x14ac:dyDescent="0.3"/>
    <row r="36" spans="2:37" ht="15.75" thickBot="1" x14ac:dyDescent="0.3">
      <c r="B36" s="139" t="s">
        <v>9</v>
      </c>
      <c r="C36" s="140"/>
      <c r="D36" s="140"/>
      <c r="E36" s="140"/>
      <c r="F36" s="140"/>
      <c r="G36" s="140"/>
      <c r="H36" s="140"/>
      <c r="I36" s="140"/>
      <c r="J36" s="140"/>
      <c r="K36" s="140"/>
      <c r="L36" s="141"/>
      <c r="O36" s="39"/>
      <c r="P36" s="97" t="s">
        <v>33</v>
      </c>
      <c r="Q36" s="98" t="s">
        <v>35</v>
      </c>
    </row>
    <row r="37" spans="2:37" ht="16.5" thickBot="1" x14ac:dyDescent="0.3">
      <c r="B37" s="142" t="s">
        <v>10</v>
      </c>
      <c r="C37" s="143"/>
      <c r="D37" s="143"/>
      <c r="E37" s="143"/>
      <c r="F37" s="143"/>
      <c r="G37" s="143"/>
      <c r="H37" s="143"/>
      <c r="I37" s="143"/>
      <c r="J37" s="143"/>
      <c r="K37" s="143"/>
      <c r="L37" s="144"/>
      <c r="O37" s="95" t="s">
        <v>23</v>
      </c>
      <c r="P37" s="93">
        <f>Y25-Y25</f>
        <v>0</v>
      </c>
      <c r="Q37" s="99">
        <f>AK25</f>
        <v>0</v>
      </c>
    </row>
    <row r="38" spans="2:37" ht="15.75" thickBot="1" x14ac:dyDescent="0.3">
      <c r="B38" s="17" t="s">
        <v>1</v>
      </c>
      <c r="C38" s="16">
        <v>0</v>
      </c>
      <c r="D38" s="2">
        <v>1</v>
      </c>
      <c r="E38" s="2">
        <v>2</v>
      </c>
      <c r="F38" s="2">
        <v>3</v>
      </c>
      <c r="G38" s="2">
        <v>4</v>
      </c>
      <c r="H38" s="2">
        <v>5</v>
      </c>
      <c r="I38" s="2">
        <v>6</v>
      </c>
      <c r="J38" s="2">
        <v>7</v>
      </c>
      <c r="K38" s="2">
        <v>8</v>
      </c>
      <c r="L38" s="3">
        <v>9</v>
      </c>
      <c r="O38" s="95" t="s">
        <v>24</v>
      </c>
      <c r="P38" s="81">
        <f>Y26-X26</f>
        <v>160.18130405854936</v>
      </c>
      <c r="Q38" s="99">
        <f>AC34+AD33+AE32+AF31+AG30+AI28+AH29+AJ27+AK26</f>
        <v>4210.7700966042867</v>
      </c>
    </row>
    <row r="39" spans="2:37" x14ac:dyDescent="0.25">
      <c r="B39" s="4">
        <v>0</v>
      </c>
      <c r="C39" s="31">
        <f t="shared" ref="C39:C48" si="18">C25</f>
        <v>182.5990888485079</v>
      </c>
      <c r="D39" s="15">
        <f t="shared" ref="D39:D47" si="19">D25-C39</f>
        <v>467.12904684978287</v>
      </c>
      <c r="E39" s="15">
        <f t="shared" ref="E39:L41" si="20">E25-D25</f>
        <v>505.73234451466169</v>
      </c>
      <c r="F39" s="15">
        <f t="shared" si="20"/>
        <v>558.68418823483421</v>
      </c>
      <c r="G39" s="15">
        <f t="shared" si="20"/>
        <v>334.55294485533</v>
      </c>
      <c r="H39" s="15">
        <f t="shared" si="20"/>
        <v>254.91069078235569</v>
      </c>
      <c r="I39" s="15">
        <f t="shared" si="20"/>
        <v>246.03534865909523</v>
      </c>
      <c r="J39" s="15">
        <f t="shared" si="20"/>
        <v>189.31422296793062</v>
      </c>
      <c r="K39" s="15">
        <f t="shared" si="20"/>
        <v>267.04212428750179</v>
      </c>
      <c r="L39" s="26">
        <f t="shared" si="20"/>
        <v>115</v>
      </c>
      <c r="O39" s="95" t="s">
        <v>25</v>
      </c>
      <c r="P39" s="81">
        <f>Y27-W27</f>
        <v>526.69340923483105</v>
      </c>
      <c r="Q39" s="99">
        <f>AD34+AE33+AF32+AG31+AH30+AI29+AJ28+AK27</f>
        <v>3484.6765593253954</v>
      </c>
    </row>
    <row r="40" spans="2:37" x14ac:dyDescent="0.25">
      <c r="B40" s="4">
        <v>1</v>
      </c>
      <c r="C40" s="32">
        <f t="shared" si="18"/>
        <v>254.33878410136478</v>
      </c>
      <c r="D40" s="27">
        <f t="shared" si="19"/>
        <v>650.65512946109141</v>
      </c>
      <c r="E40" s="27">
        <f t="shared" si="20"/>
        <v>704.42492564301017</v>
      </c>
      <c r="F40" s="27">
        <f t="shared" si="20"/>
        <v>778.18053763780813</v>
      </c>
      <c r="G40" s="27">
        <f t="shared" si="20"/>
        <v>465.99240855264998</v>
      </c>
      <c r="H40" s="27">
        <f t="shared" si="20"/>
        <v>355.06023363463873</v>
      </c>
      <c r="I40" s="27">
        <f t="shared" si="20"/>
        <v>342.69793906707628</v>
      </c>
      <c r="J40" s="27">
        <f t="shared" si="20"/>
        <v>263.69216618986229</v>
      </c>
      <c r="K40" s="27">
        <f t="shared" si="20"/>
        <v>371.95787571249821</v>
      </c>
      <c r="L40" s="28"/>
      <c r="O40" s="95" t="s">
        <v>26</v>
      </c>
      <c r="P40" s="81">
        <f>Y28-V28</f>
        <v>775.80867901639795</v>
      </c>
      <c r="Q40" s="99">
        <f>AE34+AF33+AG32+AH31+AI30+AJ29+AK28</f>
        <v>2734.0647373790307</v>
      </c>
    </row>
    <row r="41" spans="2:37" x14ac:dyDescent="0.25">
      <c r="B41" s="4">
        <v>2</v>
      </c>
      <c r="C41" s="32">
        <f t="shared" si="18"/>
        <v>251.73594877307283</v>
      </c>
      <c r="D41" s="27">
        <f t="shared" si="19"/>
        <v>643.99649828346992</v>
      </c>
      <c r="E41" s="27">
        <f t="shared" si="20"/>
        <v>697.21602870237552</v>
      </c>
      <c r="F41" s="27">
        <f t="shared" si="20"/>
        <v>770.21684542189473</v>
      </c>
      <c r="G41" s="27">
        <f t="shared" si="20"/>
        <v>461.2235664431696</v>
      </c>
      <c r="H41" s="27">
        <f t="shared" si="20"/>
        <v>351.42664183682791</v>
      </c>
      <c r="I41" s="27">
        <f t="shared" si="20"/>
        <v>339.19085969698244</v>
      </c>
      <c r="J41" s="27">
        <f t="shared" si="20"/>
        <v>260.99361084220709</v>
      </c>
      <c r="K41" s="27"/>
      <c r="L41" s="28"/>
      <c r="O41" s="95" t="s">
        <v>27</v>
      </c>
      <c r="P41" s="81">
        <f>Y29-U29</f>
        <v>1018.0102109458999</v>
      </c>
      <c r="Q41" s="99">
        <f>AF34+AG33+AH32+AI31+AJ30+AK29</f>
        <v>1991.4327502883129</v>
      </c>
    </row>
    <row r="42" spans="2:37" x14ac:dyDescent="0.25">
      <c r="B42" s="4">
        <v>3</v>
      </c>
      <c r="C42" s="32">
        <f t="shared" si="18"/>
        <v>247.93976401880587</v>
      </c>
      <c r="D42" s="27">
        <f t="shared" si="19"/>
        <v>634.28501408544298</v>
      </c>
      <c r="E42" s="27">
        <f>E28-D28</f>
        <v>686.70199258043726</v>
      </c>
      <c r="F42" s="27">
        <f>F28-E28</f>
        <v>758.60195505633169</v>
      </c>
      <c r="G42" s="27">
        <f>G28-F28</f>
        <v>454.26830288318206</v>
      </c>
      <c r="H42" s="27">
        <f>H28-G28</f>
        <v>346.12711879895323</v>
      </c>
      <c r="I42" s="27">
        <f>I28-H28</f>
        <v>334.07585257684696</v>
      </c>
      <c r="J42" s="27"/>
      <c r="K42" s="27"/>
      <c r="L42" s="28"/>
      <c r="O42" s="95" t="s">
        <v>28</v>
      </c>
      <c r="P42" s="81">
        <f>Y30-T30</f>
        <v>1404.8240146353937</v>
      </c>
      <c r="Q42" s="99">
        <f>AG34+AH33+AI32+AJ31+AK30</f>
        <v>1548.6542932515595</v>
      </c>
    </row>
    <row r="43" spans="2:37" x14ac:dyDescent="0.25">
      <c r="B43" s="4">
        <v>4</v>
      </c>
      <c r="C43" s="32">
        <f t="shared" si="18"/>
        <v>227.41573946285416</v>
      </c>
      <c r="D43" s="27">
        <f t="shared" si="19"/>
        <v>581.77999837697269</v>
      </c>
      <c r="E43" s="27">
        <f>E29-D29</f>
        <v>629.85799011025313</v>
      </c>
      <c r="F43" s="27">
        <f>F29-E29</f>
        <v>695.80619812970917</v>
      </c>
      <c r="G43" s="27">
        <f>G29-F29</f>
        <v>416.66475897298551</v>
      </c>
      <c r="H43" s="27">
        <f>H29-G29</f>
        <v>317.47531494722534</v>
      </c>
      <c r="I43" s="27"/>
      <c r="J43" s="27"/>
      <c r="K43" s="27"/>
      <c r="L43" s="28"/>
      <c r="O43" s="95" t="s">
        <v>29</v>
      </c>
      <c r="P43" s="81">
        <f>Y31-S31</f>
        <v>2041.1633125100661</v>
      </c>
      <c r="Q43" s="99">
        <f>AH34+AI33+AJ32+AK31</f>
        <v>1219.2253849817375</v>
      </c>
    </row>
    <row r="44" spans="2:37" x14ac:dyDescent="0.25">
      <c r="B44" s="4">
        <v>5</v>
      </c>
      <c r="C44" s="32">
        <f t="shared" si="18"/>
        <v>239.22317831923135</v>
      </c>
      <c r="D44" s="27">
        <f t="shared" si="19"/>
        <v>611.986050846887</v>
      </c>
      <c r="E44" s="27">
        <f>E30-D30</f>
        <v>662.56025479955451</v>
      </c>
      <c r="F44" s="27">
        <f>F30-E30</f>
        <v>731.93249774164406</v>
      </c>
      <c r="G44" s="27">
        <f>G30-F30</f>
        <v>438.29801829268308</v>
      </c>
      <c r="H44" s="27"/>
      <c r="I44" s="27"/>
      <c r="J44" s="27"/>
      <c r="K44" s="27"/>
      <c r="L44" s="28"/>
      <c r="O44" s="95" t="s">
        <v>30</v>
      </c>
      <c r="P44" s="81">
        <f>Y32-R32</f>
        <v>3419.186118805068</v>
      </c>
      <c r="Q44" s="99">
        <f>AI34+AJ33+AK32</f>
        <v>827.96434070555961</v>
      </c>
    </row>
    <row r="45" spans="2:37" x14ac:dyDescent="0.25">
      <c r="B45" s="4">
        <v>6</v>
      </c>
      <c r="C45" s="32">
        <f t="shared" si="18"/>
        <v>264.92742551156027</v>
      </c>
      <c r="D45" s="27">
        <f t="shared" si="19"/>
        <v>677.74322721979593</v>
      </c>
      <c r="E45" s="27">
        <f>E31-D31</f>
        <v>733.75156949086602</v>
      </c>
      <c r="F45" s="27">
        <f>F31-E31</f>
        <v>810.57777777777778</v>
      </c>
      <c r="G45" s="27"/>
      <c r="H45" s="27"/>
      <c r="I45" s="27"/>
      <c r="J45" s="27"/>
      <c r="K45" s="27"/>
      <c r="L45" s="28"/>
      <c r="O45" s="95" t="s">
        <v>31</v>
      </c>
      <c r="P45" s="81">
        <f>Y33-Q33</f>
        <v>3575.3347051024393</v>
      </c>
      <c r="Q45" s="99">
        <f>AJ34+AK33</f>
        <v>507.12824082602583</v>
      </c>
    </row>
    <row r="46" spans="2:37" x14ac:dyDescent="0.25">
      <c r="B46" s="4">
        <v>7</v>
      </c>
      <c r="C46" s="32">
        <f t="shared" si="18"/>
        <v>317.64320361511454</v>
      </c>
      <c r="D46" s="27">
        <f t="shared" si="19"/>
        <v>812.6019022260441</v>
      </c>
      <c r="E46" s="27">
        <f>E32-D32</f>
        <v>879.75489415884135</v>
      </c>
      <c r="F46" s="27"/>
      <c r="G46" s="27"/>
      <c r="H46" s="27"/>
      <c r="I46" s="27"/>
      <c r="J46" s="27"/>
      <c r="K46" s="27"/>
      <c r="L46" s="28"/>
      <c r="O46" s="96" t="s">
        <v>32</v>
      </c>
      <c r="P46" s="81">
        <f>Y34-P34</f>
        <v>3749.4568927795181</v>
      </c>
      <c r="Q46" s="99">
        <f>AK34</f>
        <v>146.74224372625577</v>
      </c>
    </row>
    <row r="47" spans="2:37" ht="15.75" thickBot="1" x14ac:dyDescent="0.3">
      <c r="B47" s="4">
        <v>8</v>
      </c>
      <c r="C47" s="32">
        <f t="shared" si="18"/>
        <v>264.17686734948791</v>
      </c>
      <c r="D47" s="27">
        <f t="shared" si="19"/>
        <v>675.82313265051209</v>
      </c>
      <c r="E47" s="27"/>
      <c r="F47" s="27"/>
      <c r="G47" s="27"/>
      <c r="H47" s="27"/>
      <c r="I47" s="27"/>
      <c r="J47" s="27"/>
      <c r="K47" s="27"/>
      <c r="L47" s="28"/>
      <c r="O47" s="94" t="s">
        <v>37</v>
      </c>
      <c r="P47" s="100">
        <f>SUM(P37:P46)</f>
        <v>16670.658647088163</v>
      </c>
      <c r="Q47" s="100">
        <f>SUM(Q37:Q46)</f>
        <v>16670.658647088159</v>
      </c>
    </row>
    <row r="48" spans="2:37" ht="15.75" thickBot="1" x14ac:dyDescent="0.3">
      <c r="B48" s="11">
        <v>9</v>
      </c>
      <c r="C48" s="33">
        <f t="shared" si="18"/>
        <v>233</v>
      </c>
      <c r="D48" s="29"/>
      <c r="E48" s="29"/>
      <c r="F48" s="29"/>
      <c r="G48" s="29"/>
      <c r="H48" s="29"/>
      <c r="I48" s="29"/>
      <c r="J48" s="29"/>
      <c r="K48" s="29"/>
      <c r="L48" s="30"/>
    </row>
    <row r="49" spans="2:17" ht="15.75" thickBot="1" x14ac:dyDescent="0.3"/>
    <row r="50" spans="2:17" ht="15.75" thickBot="1" x14ac:dyDescent="0.3">
      <c r="B50" s="139" t="s">
        <v>12</v>
      </c>
      <c r="C50" s="140"/>
      <c r="D50" s="140"/>
      <c r="E50" s="140"/>
      <c r="F50" s="140"/>
      <c r="G50" s="140"/>
      <c r="H50" s="140"/>
      <c r="I50" s="140"/>
      <c r="J50" s="140"/>
      <c r="K50" s="140"/>
      <c r="L50" s="141"/>
    </row>
    <row r="51" spans="2:17" ht="16.5" thickBot="1" x14ac:dyDescent="0.3">
      <c r="B51" s="142" t="s">
        <v>40</v>
      </c>
      <c r="C51" s="143"/>
      <c r="D51" s="143"/>
      <c r="E51" s="143"/>
      <c r="F51" s="143"/>
      <c r="G51" s="143"/>
      <c r="H51" s="143"/>
      <c r="I51" s="143"/>
      <c r="J51" s="143"/>
      <c r="K51" s="143"/>
      <c r="L51" s="144"/>
    </row>
    <row r="52" spans="2:17" ht="15.75" thickBot="1" x14ac:dyDescent="0.3">
      <c r="B52" s="38" t="s">
        <v>1</v>
      </c>
      <c r="C52" s="16">
        <v>0</v>
      </c>
      <c r="D52" s="2">
        <v>1</v>
      </c>
      <c r="E52" s="2">
        <v>2</v>
      </c>
      <c r="F52" s="2">
        <v>3</v>
      </c>
      <c r="G52" s="2">
        <v>4</v>
      </c>
      <c r="H52" s="2">
        <v>5</v>
      </c>
      <c r="I52" s="2">
        <v>6</v>
      </c>
      <c r="J52" s="2">
        <v>7</v>
      </c>
      <c r="K52" s="2">
        <v>8</v>
      </c>
      <c r="L52" s="3">
        <v>9</v>
      </c>
    </row>
    <row r="53" spans="2:17" x14ac:dyDescent="0.25">
      <c r="B53" s="37">
        <v>0</v>
      </c>
      <c r="C53" s="41">
        <f>(C5-C25)/SQRT(C25)</f>
        <v>4.395859505313398</v>
      </c>
      <c r="D53" s="20">
        <f t="shared" ref="D53:L53" si="21">((D5-C5)-D39)/SQRT(D39)</f>
        <v>3.0477231302899934</v>
      </c>
      <c r="E53" s="20">
        <f t="shared" si="21"/>
        <v>-2.8339979387175589</v>
      </c>
      <c r="F53" s="20">
        <f t="shared" si="21"/>
        <v>-8.1096684632095926</v>
      </c>
      <c r="G53" s="20">
        <f t="shared" si="21"/>
        <v>4.2342108455346903</v>
      </c>
      <c r="H53" s="20">
        <f t="shared" si="21"/>
        <v>13.033340562533812</v>
      </c>
      <c r="I53" s="20">
        <f t="shared" si="21"/>
        <v>-5.6762786862548138</v>
      </c>
      <c r="J53" s="20">
        <f t="shared" si="21"/>
        <v>-2.2758834513593782</v>
      </c>
      <c r="K53" s="20">
        <f t="shared" si="21"/>
        <v>-2.1443740282376202</v>
      </c>
      <c r="L53" s="21">
        <f t="shared" si="21"/>
        <v>0</v>
      </c>
    </row>
    <row r="54" spans="2:17" ht="15.75" thickBot="1" x14ac:dyDescent="0.3">
      <c r="B54" s="4">
        <v>1</v>
      </c>
      <c r="C54" s="34">
        <f t="shared" ref="C54:C62" si="22">(C6-C26)/SQRT(C26)</f>
        <v>-1.0245034818472032</v>
      </c>
      <c r="D54" s="22">
        <f t="shared" ref="D54:J61" si="23">((D6-C6)-D40)/SQRT(D40)</f>
        <v>-1.4370084726630459</v>
      </c>
      <c r="E54" s="22">
        <f t="shared" si="23"/>
        <v>-1.2970468205875192</v>
      </c>
      <c r="F54" s="22">
        <f t="shared" si="23"/>
        <v>3.3990480665052294</v>
      </c>
      <c r="G54" s="22">
        <f t="shared" si="23"/>
        <v>-4.5857721264303084</v>
      </c>
      <c r="H54" s="22">
        <f t="shared" si="23"/>
        <v>-3.5058157523211269</v>
      </c>
      <c r="I54" s="22">
        <f t="shared" si="23"/>
        <v>6.1204318049211235</v>
      </c>
      <c r="J54" s="22">
        <f t="shared" si="23"/>
        <v>0.57319184971087045</v>
      </c>
      <c r="K54" s="22">
        <f>((K6-J6)-K40)/SQRT(K40)</f>
        <v>1.8169523846766023</v>
      </c>
      <c r="L54" s="23"/>
    </row>
    <row r="55" spans="2:17" ht="15.75" thickBot="1" x14ac:dyDescent="0.3">
      <c r="B55" s="4">
        <v>2</v>
      </c>
      <c r="C55" s="34">
        <f t="shared" si="22"/>
        <v>-3.5128756680943565</v>
      </c>
      <c r="D55" s="22">
        <f t="shared" si="23"/>
        <v>2.0098249870384435</v>
      </c>
      <c r="E55" s="22">
        <f t="shared" si="23"/>
        <v>-1.2200800394991738</v>
      </c>
      <c r="F55" s="22">
        <f t="shared" si="23"/>
        <v>-0.58433226940881722</v>
      </c>
      <c r="G55" s="22">
        <f t="shared" si="23"/>
        <v>5.9031359514758339</v>
      </c>
      <c r="H55" s="22">
        <f t="shared" si="23"/>
        <v>-10.05136321504339</v>
      </c>
      <c r="I55" s="22">
        <f t="shared" si="23"/>
        <v>5.0392821991310761</v>
      </c>
      <c r="J55" s="22">
        <f t="shared" si="23"/>
        <v>1.3621779650788126</v>
      </c>
      <c r="K55" s="22"/>
      <c r="L55" s="23"/>
      <c r="N55" s="148" t="s">
        <v>16</v>
      </c>
      <c r="O55" s="149"/>
    </row>
    <row r="56" spans="2:17" ht="17.25" x14ac:dyDescent="0.25">
      <c r="B56" s="4">
        <v>3</v>
      </c>
      <c r="C56" s="34">
        <f t="shared" si="22"/>
        <v>-2.4094700566450826</v>
      </c>
      <c r="D56" s="22">
        <f t="shared" si="23"/>
        <v>5.3093072360584781</v>
      </c>
      <c r="E56" s="22">
        <f t="shared" si="23"/>
        <v>-4.7587099990101356</v>
      </c>
      <c r="F56" s="22">
        <f t="shared" si="23"/>
        <v>13.956425169642831</v>
      </c>
      <c r="G56" s="22">
        <f t="shared" si="23"/>
        <v>-9.7247103372134305</v>
      </c>
      <c r="H56" s="22">
        <f t="shared" si="23"/>
        <v>-1.6730969579217987</v>
      </c>
      <c r="I56" s="22">
        <f t="shared" si="23"/>
        <v>-6.4053783330652534</v>
      </c>
      <c r="J56" s="22"/>
      <c r="K56" s="22"/>
      <c r="L56" s="23"/>
      <c r="N56" s="46" t="s">
        <v>17</v>
      </c>
      <c r="O56" s="45">
        <f>SUMPRODUCT(C53:L62,C53:L62)</f>
        <v>1221.3285134600389</v>
      </c>
    </row>
    <row r="57" spans="2:17" x14ac:dyDescent="0.25">
      <c r="B57" s="4">
        <v>4</v>
      </c>
      <c r="C57" s="34">
        <f t="shared" si="22"/>
        <v>4.8131810400593809</v>
      </c>
      <c r="D57" s="22">
        <f t="shared" si="23"/>
        <v>-4.0953367787592594</v>
      </c>
      <c r="E57" s="22">
        <f t="shared" si="23"/>
        <v>3.1932940255089988</v>
      </c>
      <c r="F57" s="22">
        <f t="shared" si="23"/>
        <v>-4.5418746092428499</v>
      </c>
      <c r="G57" s="22">
        <f t="shared" si="23"/>
        <v>-0.57145545732317626</v>
      </c>
      <c r="H57" s="22">
        <f t="shared" si="23"/>
        <v>4.3509593842955185</v>
      </c>
      <c r="I57" s="22"/>
      <c r="J57" s="22"/>
      <c r="K57" s="22"/>
      <c r="L57" s="23"/>
      <c r="N57" s="47" t="s">
        <v>14</v>
      </c>
      <c r="O57" s="48">
        <f>(L4-C4)</f>
        <v>9</v>
      </c>
    </row>
    <row r="58" spans="2:17" x14ac:dyDescent="0.25">
      <c r="B58" s="4">
        <v>5</v>
      </c>
      <c r="C58" s="34">
        <f t="shared" si="22"/>
        <v>1.8605493656804113</v>
      </c>
      <c r="D58" s="22">
        <f t="shared" si="23"/>
        <v>1.5770633967265384</v>
      </c>
      <c r="E58" s="22">
        <f t="shared" si="23"/>
        <v>-2.0030987723664344</v>
      </c>
      <c r="F58" s="22">
        <f t="shared" si="23"/>
        <v>-4.8026647527959225</v>
      </c>
      <c r="G58" s="22">
        <f t="shared" si="23"/>
        <v>5.4310434904445897</v>
      </c>
      <c r="H58" s="22"/>
      <c r="I58" s="22"/>
      <c r="J58" s="22"/>
      <c r="K58" s="22"/>
      <c r="L58" s="23"/>
      <c r="N58" s="49" t="s">
        <v>13</v>
      </c>
      <c r="O58" s="50">
        <f>O56/(COUNT(C53:L62)-((O57*2)+1))</f>
        <v>33.925792040556637</v>
      </c>
    </row>
    <row r="59" spans="2:17" ht="15.75" thickBot="1" x14ac:dyDescent="0.3">
      <c r="B59" s="4">
        <v>6</v>
      </c>
      <c r="C59" s="34">
        <f t="shared" si="22"/>
        <v>2.0319103555647251</v>
      </c>
      <c r="D59" s="22">
        <f t="shared" si="23"/>
        <v>-3.3703966206964209</v>
      </c>
      <c r="E59" s="22">
        <f t="shared" si="23"/>
        <v>2.8148573256996841</v>
      </c>
      <c r="F59" s="22">
        <f t="shared" si="23"/>
        <v>-0.757895571636237</v>
      </c>
      <c r="G59" s="22"/>
      <c r="H59" s="22"/>
      <c r="I59" s="22"/>
      <c r="J59" s="22"/>
      <c r="K59" s="22"/>
      <c r="L59" s="23"/>
      <c r="N59" s="51" t="s">
        <v>15</v>
      </c>
      <c r="O59" s="52">
        <f>SQRT(O58)</f>
        <v>5.8245851389224823</v>
      </c>
    </row>
    <row r="60" spans="2:17" x14ac:dyDescent="0.25">
      <c r="B60" s="4">
        <v>7</v>
      </c>
      <c r="C60" s="34">
        <f t="shared" si="22"/>
        <v>-4.1881332126428363</v>
      </c>
      <c r="D60" s="22">
        <f t="shared" si="23"/>
        <v>-2.6521238779018601</v>
      </c>
      <c r="E60" s="22">
        <f t="shared" si="23"/>
        <v>5.0654669744723417</v>
      </c>
      <c r="F60" s="22"/>
      <c r="G60" s="22"/>
      <c r="H60" s="22"/>
      <c r="I60" s="22"/>
      <c r="J60" s="22"/>
      <c r="K60" s="22"/>
      <c r="L60" s="23"/>
    </row>
    <row r="61" spans="2:17" x14ac:dyDescent="0.25">
      <c r="B61" s="4">
        <v>8</v>
      </c>
      <c r="C61" s="34">
        <f t="shared" si="22"/>
        <v>-0.56460804378339036</v>
      </c>
      <c r="D61" s="22">
        <f t="shared" si="23"/>
        <v>0.35300261900540758</v>
      </c>
      <c r="E61" s="22"/>
      <c r="F61" s="22"/>
      <c r="G61" s="22"/>
      <c r="H61" s="22"/>
      <c r="I61" s="22"/>
      <c r="J61" s="22"/>
      <c r="K61" s="22"/>
      <c r="L61" s="23"/>
    </row>
    <row r="62" spans="2:17" ht="15.75" thickBot="1" x14ac:dyDescent="0.3">
      <c r="B62" s="11">
        <v>9</v>
      </c>
      <c r="C62" s="36">
        <f t="shared" si="22"/>
        <v>0</v>
      </c>
      <c r="D62" s="24"/>
      <c r="E62" s="24"/>
      <c r="F62" s="24"/>
      <c r="G62" s="24"/>
      <c r="H62" s="24"/>
      <c r="I62" s="24"/>
      <c r="J62" s="24"/>
      <c r="K62" s="24"/>
      <c r="L62" s="25"/>
    </row>
    <row r="63" spans="2:17" ht="15.75" thickBot="1" x14ac:dyDescent="0.3">
      <c r="C63" s="44"/>
    </row>
    <row r="64" spans="2:17" ht="15.75" thickBot="1" x14ac:dyDescent="0.3">
      <c r="B64" s="139" t="s">
        <v>18</v>
      </c>
      <c r="C64" s="140"/>
      <c r="D64" s="140"/>
      <c r="E64" s="140"/>
      <c r="F64" s="140"/>
      <c r="G64" s="140"/>
      <c r="H64" s="140"/>
      <c r="I64" s="140"/>
      <c r="J64" s="140"/>
      <c r="K64" s="140"/>
      <c r="L64" s="141"/>
      <c r="N64" s="153" t="s">
        <v>19</v>
      </c>
      <c r="O64" s="154"/>
      <c r="P64" s="154"/>
      <c r="Q64" s="155"/>
    </row>
    <row r="65" spans="2:17" ht="16.5" thickBot="1" x14ac:dyDescent="0.3">
      <c r="B65" s="150" t="s">
        <v>39</v>
      </c>
      <c r="C65" s="151"/>
      <c r="D65" s="151"/>
      <c r="E65" s="151"/>
      <c r="F65" s="151"/>
      <c r="G65" s="151"/>
      <c r="H65" s="151"/>
      <c r="I65" s="151"/>
      <c r="J65" s="151"/>
      <c r="K65" s="151"/>
      <c r="L65" s="152"/>
      <c r="N65" s="59" t="s">
        <v>6</v>
      </c>
      <c r="O65" s="59" t="s">
        <v>7</v>
      </c>
      <c r="P65" s="59" t="s">
        <v>20</v>
      </c>
      <c r="Q65" s="59" t="s">
        <v>21</v>
      </c>
    </row>
    <row r="66" spans="2:17" ht="15.75" thickBot="1" x14ac:dyDescent="0.3">
      <c r="B66" s="54" t="s">
        <v>1</v>
      </c>
      <c r="C66" s="55">
        <v>0</v>
      </c>
      <c r="D66" s="55">
        <v>1</v>
      </c>
      <c r="E66" s="55">
        <v>2</v>
      </c>
      <c r="F66" s="55">
        <v>3</v>
      </c>
      <c r="G66" s="55">
        <v>4</v>
      </c>
      <c r="H66" s="55">
        <v>5</v>
      </c>
      <c r="I66" s="55">
        <v>6</v>
      </c>
      <c r="J66" s="55">
        <v>7</v>
      </c>
      <c r="K66" s="55">
        <v>8</v>
      </c>
      <c r="L66" s="56">
        <v>9</v>
      </c>
      <c r="N66" s="57">
        <v>0</v>
      </c>
      <c r="O66" s="60">
        <f>C53</f>
        <v>4.395859505313398</v>
      </c>
      <c r="P66" s="61">
        <f ca="1">RANDBETWEEN($N$66,$N$120)</f>
        <v>21</v>
      </c>
      <c r="Q66" s="62">
        <f ca="1">VLOOKUP(P66,$N$66:$O$120,2)</f>
        <v>-1.2200800394991738</v>
      </c>
    </row>
    <row r="67" spans="2:17" x14ac:dyDescent="0.25">
      <c r="B67" s="37">
        <v>0</v>
      </c>
      <c r="C67" s="41">
        <f ca="1">Q66</f>
        <v>-1.2200800394991738</v>
      </c>
      <c r="D67" s="20">
        <f ca="1">Q76</f>
        <v>-2.6521238779018601</v>
      </c>
      <c r="E67" s="20">
        <f ca="1">Q85</f>
        <v>-0.58433226940881722</v>
      </c>
      <c r="F67" s="20">
        <f ca="1">Q93</f>
        <v>-1.2200800394991738</v>
      </c>
      <c r="G67" s="20">
        <f ca="1">Q100</f>
        <v>1.3621779650788126</v>
      </c>
      <c r="H67" s="20">
        <f ca="1">Q106</f>
        <v>-3.5128756680943565</v>
      </c>
      <c r="I67" s="20">
        <f ca="1">Q111</f>
        <v>1.3621779650788126</v>
      </c>
      <c r="J67" s="20">
        <f ca="1">Q115</f>
        <v>2.0319103555647251</v>
      </c>
      <c r="K67" s="20">
        <f ca="1">Q118</f>
        <v>-0.757895571636237</v>
      </c>
      <c r="L67" s="21">
        <f ca="1">Q120</f>
        <v>-0.757895571636237</v>
      </c>
      <c r="N67" s="58">
        <v>1</v>
      </c>
      <c r="O67" s="63">
        <f t="shared" ref="O67:O75" si="24">C54</f>
        <v>-1.0245034818472032</v>
      </c>
      <c r="P67" s="64">
        <f t="shared" ref="P67:P120" ca="1" si="25">RANDBETWEEN($N$66,$N$120)</f>
        <v>2</v>
      </c>
      <c r="Q67" s="65">
        <f t="shared" ref="Q67:Q120" ca="1" si="26">VLOOKUP(P67,$N$66:$O$120,2)</f>
        <v>-3.5128756680943565</v>
      </c>
    </row>
    <row r="68" spans="2:17" x14ac:dyDescent="0.25">
      <c r="B68" s="4">
        <v>1</v>
      </c>
      <c r="C68" s="34">
        <f t="shared" ref="C68:C76" ca="1" si="27">Q67</f>
        <v>-3.5128756680943565</v>
      </c>
      <c r="D68" s="22">
        <f t="shared" ref="D68:D75" ca="1" si="28">Q77</f>
        <v>-3.3703966206964209</v>
      </c>
      <c r="E68" s="22">
        <f t="shared" ref="E68:E74" ca="1" si="29">Q86</f>
        <v>1.8169523846766023</v>
      </c>
      <c r="F68" s="22">
        <f t="shared" ref="F68:F73" ca="1" si="30">Q94</f>
        <v>1.8169523846766023</v>
      </c>
      <c r="G68" s="22">
        <f t="shared" ref="G68:G72" ca="1" si="31">Q101</f>
        <v>1.3621779650788126</v>
      </c>
      <c r="H68" s="22">
        <f t="shared" ref="H68:H71" ca="1" si="32">Q107</f>
        <v>-1.0245034818472032</v>
      </c>
      <c r="I68" s="22">
        <f t="shared" ref="I68:I70" ca="1" si="33">Q112</f>
        <v>-2.4094700566450826</v>
      </c>
      <c r="J68" s="22">
        <f t="shared" ref="J68:J69" ca="1" si="34">Q116</f>
        <v>-0.56460804378339036</v>
      </c>
      <c r="K68" s="22">
        <f ca="1">Q119</f>
        <v>0</v>
      </c>
      <c r="L68" s="23" t="s">
        <v>2</v>
      </c>
      <c r="N68" s="58">
        <v>2</v>
      </c>
      <c r="O68" s="63">
        <f t="shared" si="24"/>
        <v>-3.5128756680943565</v>
      </c>
      <c r="P68" s="64">
        <f t="shared" ca="1" si="25"/>
        <v>2</v>
      </c>
      <c r="Q68" s="65">
        <f t="shared" ca="1" si="26"/>
        <v>-3.5128756680943565</v>
      </c>
    </row>
    <row r="69" spans="2:17" x14ac:dyDescent="0.25">
      <c r="B69" s="4">
        <v>2</v>
      </c>
      <c r="C69" s="34">
        <f t="shared" ca="1" si="27"/>
        <v>-3.5128756680943565</v>
      </c>
      <c r="D69" s="22">
        <f t="shared" ca="1" si="28"/>
        <v>-8.1096684632095926</v>
      </c>
      <c r="E69" s="22">
        <f t="shared" ca="1" si="29"/>
        <v>-2.4094700566450826</v>
      </c>
      <c r="F69" s="22">
        <f t="shared" ca="1" si="30"/>
        <v>5.9031359514758339</v>
      </c>
      <c r="G69" s="22">
        <f t="shared" ca="1" si="31"/>
        <v>-5.6762786862548138</v>
      </c>
      <c r="H69" s="22">
        <f t="shared" ca="1" si="32"/>
        <v>2.0319103555647251</v>
      </c>
      <c r="I69" s="22">
        <f t="shared" ca="1" si="33"/>
        <v>-2.4094700566450826</v>
      </c>
      <c r="J69" s="22">
        <f t="shared" ca="1" si="34"/>
        <v>-2.2758834513593782</v>
      </c>
      <c r="K69" s="22" t="s">
        <v>2</v>
      </c>
      <c r="L69" s="23" t="s">
        <v>2</v>
      </c>
      <c r="N69" s="58">
        <v>3</v>
      </c>
      <c r="O69" s="63">
        <f t="shared" si="24"/>
        <v>-2.4094700566450826</v>
      </c>
      <c r="P69" s="64">
        <f t="shared" ca="1" si="25"/>
        <v>33</v>
      </c>
      <c r="Q69" s="65">
        <f t="shared" ca="1" si="26"/>
        <v>-0.757895571636237</v>
      </c>
    </row>
    <row r="70" spans="2:17" x14ac:dyDescent="0.25">
      <c r="B70" s="4">
        <v>3</v>
      </c>
      <c r="C70" s="34">
        <f t="shared" ca="1" si="27"/>
        <v>-0.757895571636237</v>
      </c>
      <c r="D70" s="22">
        <f t="shared" ca="1" si="28"/>
        <v>4.395859505313398</v>
      </c>
      <c r="E70" s="22">
        <f t="shared" ca="1" si="29"/>
        <v>-1.0245034818472032</v>
      </c>
      <c r="F70" s="22">
        <f t="shared" ca="1" si="30"/>
        <v>4.2342108455346903</v>
      </c>
      <c r="G70" s="22">
        <f t="shared" ca="1" si="31"/>
        <v>3.0477231302899934</v>
      </c>
      <c r="H70" s="22">
        <f t="shared" ca="1" si="32"/>
        <v>4.3509593842955185</v>
      </c>
      <c r="I70" s="22">
        <f t="shared" ca="1" si="33"/>
        <v>4.395859505313398</v>
      </c>
      <c r="J70" s="22" t="s">
        <v>2</v>
      </c>
      <c r="K70" s="22" t="s">
        <v>2</v>
      </c>
      <c r="L70" s="23" t="s">
        <v>2</v>
      </c>
      <c r="N70" s="58">
        <v>4</v>
      </c>
      <c r="O70" s="63">
        <f t="shared" si="24"/>
        <v>4.8131810400593809</v>
      </c>
      <c r="P70" s="64">
        <f t="shared" ca="1" si="25"/>
        <v>53</v>
      </c>
      <c r="Q70" s="65">
        <f t="shared" ca="1" si="26"/>
        <v>1.8169523846766023</v>
      </c>
    </row>
    <row r="71" spans="2:17" x14ac:dyDescent="0.25">
      <c r="B71" s="4">
        <v>4</v>
      </c>
      <c r="C71" s="34">
        <f t="shared" ca="1" si="27"/>
        <v>1.8169523846766023</v>
      </c>
      <c r="D71" s="22">
        <f t="shared" ca="1" si="28"/>
        <v>-2.8339979387175589</v>
      </c>
      <c r="E71" s="22">
        <f t="shared" ca="1" si="29"/>
        <v>-3.5128756680943565</v>
      </c>
      <c r="F71" s="22">
        <f t="shared" ca="1" si="30"/>
        <v>-2.6521238779018601</v>
      </c>
      <c r="G71" s="22">
        <f t="shared" ca="1" si="31"/>
        <v>-0.757895571636237</v>
      </c>
      <c r="H71" s="22">
        <f t="shared" ca="1" si="32"/>
        <v>-0.757895571636237</v>
      </c>
      <c r="I71" s="22" t="s">
        <v>2</v>
      </c>
      <c r="J71" s="22" t="s">
        <v>2</v>
      </c>
      <c r="K71" s="22" t="s">
        <v>2</v>
      </c>
      <c r="L71" s="23" t="s">
        <v>2</v>
      </c>
      <c r="N71" s="58">
        <v>5</v>
      </c>
      <c r="O71" s="63">
        <f t="shared" si="24"/>
        <v>1.8605493656804113</v>
      </c>
      <c r="P71" s="64">
        <f t="shared" ca="1" si="25"/>
        <v>40</v>
      </c>
      <c r="Q71" s="65">
        <f t="shared" ca="1" si="26"/>
        <v>13.033340562533812</v>
      </c>
    </row>
    <row r="72" spans="2:17" x14ac:dyDescent="0.25">
      <c r="B72" s="4">
        <v>5</v>
      </c>
      <c r="C72" s="34">
        <f t="shared" ca="1" si="27"/>
        <v>13.033340562533812</v>
      </c>
      <c r="D72" s="22">
        <f t="shared" ca="1" si="28"/>
        <v>4.2342108455346903</v>
      </c>
      <c r="E72" s="22">
        <f t="shared" ca="1" si="29"/>
        <v>-2.4094700566450826</v>
      </c>
      <c r="F72" s="22">
        <f t="shared" ca="1" si="30"/>
        <v>-0.757895571636237</v>
      </c>
      <c r="G72" s="22">
        <f t="shared" ca="1" si="31"/>
        <v>-3.5058157523211269</v>
      </c>
      <c r="H72" s="22" t="s">
        <v>2</v>
      </c>
      <c r="I72" s="22" t="s">
        <v>2</v>
      </c>
      <c r="J72" s="22" t="s">
        <v>2</v>
      </c>
      <c r="K72" s="22" t="s">
        <v>2</v>
      </c>
      <c r="L72" s="23" t="s">
        <v>2</v>
      </c>
      <c r="N72" s="58">
        <v>6</v>
      </c>
      <c r="O72" s="63">
        <f t="shared" si="24"/>
        <v>2.0319103555647251</v>
      </c>
      <c r="P72" s="64">
        <f t="shared" ca="1" si="25"/>
        <v>36</v>
      </c>
      <c r="Q72" s="65">
        <f t="shared" ca="1" si="26"/>
        <v>5.9031359514758339</v>
      </c>
    </row>
    <row r="73" spans="2:17" x14ac:dyDescent="0.25">
      <c r="B73" s="4">
        <v>6</v>
      </c>
      <c r="C73" s="34">
        <f t="shared" ca="1" si="27"/>
        <v>5.9031359514758339</v>
      </c>
      <c r="D73" s="22">
        <f t="shared" ca="1" si="28"/>
        <v>-0.757895571636237</v>
      </c>
      <c r="E73" s="22">
        <f t="shared" ca="1" si="29"/>
        <v>5.4310434904445897</v>
      </c>
      <c r="F73" s="22">
        <f t="shared" ca="1" si="30"/>
        <v>-4.8026647527959225</v>
      </c>
      <c r="G73" s="22" t="s">
        <v>2</v>
      </c>
      <c r="H73" s="22" t="s">
        <v>2</v>
      </c>
      <c r="I73" s="22" t="s">
        <v>2</v>
      </c>
      <c r="J73" s="22" t="s">
        <v>2</v>
      </c>
      <c r="K73" s="22" t="s">
        <v>2</v>
      </c>
      <c r="L73" s="23" t="s">
        <v>2</v>
      </c>
      <c r="N73" s="58">
        <v>7</v>
      </c>
      <c r="O73" s="63">
        <f t="shared" si="24"/>
        <v>-4.1881332126428363</v>
      </c>
      <c r="P73" s="64">
        <f t="shared" ca="1" si="25"/>
        <v>45</v>
      </c>
      <c r="Q73" s="65">
        <f t="shared" ca="1" si="26"/>
        <v>-5.6762786862548138</v>
      </c>
    </row>
    <row r="74" spans="2:17" x14ac:dyDescent="0.25">
      <c r="B74" s="4">
        <v>7</v>
      </c>
      <c r="C74" s="34">
        <f t="shared" ca="1" si="27"/>
        <v>-5.6762786862548138</v>
      </c>
      <c r="D74" s="22">
        <f t="shared" ca="1" si="28"/>
        <v>-0.57145545732317626</v>
      </c>
      <c r="E74" s="22">
        <f t="shared" ca="1" si="29"/>
        <v>-6.4053783330652534</v>
      </c>
      <c r="F74" s="22" t="s">
        <v>2</v>
      </c>
      <c r="G74" s="22" t="s">
        <v>2</v>
      </c>
      <c r="H74" s="22" t="s">
        <v>2</v>
      </c>
      <c r="I74" s="22" t="s">
        <v>2</v>
      </c>
      <c r="J74" s="22" t="s">
        <v>2</v>
      </c>
      <c r="K74" s="22" t="s">
        <v>2</v>
      </c>
      <c r="L74" s="23" t="s">
        <v>2</v>
      </c>
      <c r="N74" s="58">
        <v>8</v>
      </c>
      <c r="O74" s="63">
        <f t="shared" si="24"/>
        <v>-0.56460804378339036</v>
      </c>
      <c r="P74" s="64">
        <f t="shared" ca="1" si="25"/>
        <v>25</v>
      </c>
      <c r="Q74" s="65">
        <f t="shared" ca="1" si="26"/>
        <v>2.8148573256996841</v>
      </c>
    </row>
    <row r="75" spans="2:17" x14ac:dyDescent="0.25">
      <c r="B75" s="4">
        <v>8</v>
      </c>
      <c r="C75" s="34">
        <f t="shared" ca="1" si="27"/>
        <v>2.8148573256996841</v>
      </c>
      <c r="D75" s="22">
        <f t="shared" ca="1" si="28"/>
        <v>13.033340562533812</v>
      </c>
      <c r="E75" s="22" t="s">
        <v>2</v>
      </c>
      <c r="F75" s="22" t="s">
        <v>2</v>
      </c>
      <c r="G75" s="22" t="s">
        <v>2</v>
      </c>
      <c r="H75" s="22" t="s">
        <v>2</v>
      </c>
      <c r="I75" s="22" t="s">
        <v>2</v>
      </c>
      <c r="J75" s="22" t="s">
        <v>2</v>
      </c>
      <c r="K75" s="22" t="s">
        <v>2</v>
      </c>
      <c r="L75" s="23" t="s">
        <v>2</v>
      </c>
      <c r="N75" s="58">
        <v>9</v>
      </c>
      <c r="O75" s="63">
        <f t="shared" si="24"/>
        <v>0</v>
      </c>
      <c r="P75" s="64">
        <f t="shared" ca="1" si="25"/>
        <v>25</v>
      </c>
      <c r="Q75" s="65">
        <f t="shared" ca="1" si="26"/>
        <v>2.8148573256996841</v>
      </c>
    </row>
    <row r="76" spans="2:17" ht="15.75" thickBot="1" x14ac:dyDescent="0.3">
      <c r="B76" s="11">
        <v>9</v>
      </c>
      <c r="C76" s="36">
        <f t="shared" ca="1" si="27"/>
        <v>2.8148573256996841</v>
      </c>
      <c r="D76" s="24" t="s">
        <v>2</v>
      </c>
      <c r="E76" s="24" t="s">
        <v>2</v>
      </c>
      <c r="F76" s="24" t="s">
        <v>2</v>
      </c>
      <c r="G76" s="24" t="s">
        <v>2</v>
      </c>
      <c r="H76" s="24" t="s">
        <v>2</v>
      </c>
      <c r="I76" s="24" t="s">
        <v>2</v>
      </c>
      <c r="J76" s="24" t="s">
        <v>2</v>
      </c>
      <c r="K76" s="24" t="s">
        <v>2</v>
      </c>
      <c r="L76" s="25" t="s">
        <v>2</v>
      </c>
      <c r="N76" s="58">
        <v>10</v>
      </c>
      <c r="O76" s="63">
        <f>D53</f>
        <v>3.0477231302899934</v>
      </c>
      <c r="P76" s="64">
        <f t="shared" ca="1" si="25"/>
        <v>17</v>
      </c>
      <c r="Q76" s="65">
        <f t="shared" ca="1" si="26"/>
        <v>-2.6521238779018601</v>
      </c>
    </row>
    <row r="77" spans="2:17" ht="15.75" thickBot="1" x14ac:dyDescent="0.3">
      <c r="N77" s="58">
        <v>11</v>
      </c>
      <c r="O77" s="63">
        <f t="shared" ref="O77:O84" si="35">D54</f>
        <v>-1.4370084726630459</v>
      </c>
      <c r="P77" s="64">
        <f t="shared" ca="1" si="25"/>
        <v>16</v>
      </c>
      <c r="Q77" s="65">
        <f t="shared" ca="1" si="26"/>
        <v>-3.3703966206964209</v>
      </c>
    </row>
    <row r="78" spans="2:17" ht="15.75" thickBot="1" x14ac:dyDescent="0.3">
      <c r="B78" s="139" t="s">
        <v>42</v>
      </c>
      <c r="C78" s="140"/>
      <c r="D78" s="140"/>
      <c r="E78" s="140"/>
      <c r="F78" s="140"/>
      <c r="G78" s="140"/>
      <c r="H78" s="140"/>
      <c r="I78" s="140"/>
      <c r="J78" s="140"/>
      <c r="K78" s="140"/>
      <c r="L78" s="141"/>
      <c r="N78" s="58">
        <v>12</v>
      </c>
      <c r="O78" s="63">
        <f t="shared" si="35"/>
        <v>2.0098249870384435</v>
      </c>
      <c r="P78" s="64">
        <f t="shared" ca="1" si="25"/>
        <v>27</v>
      </c>
      <c r="Q78" s="65">
        <f t="shared" ca="1" si="26"/>
        <v>-8.1096684632095926</v>
      </c>
    </row>
    <row r="79" spans="2:17" ht="16.5" thickBot="1" x14ac:dyDescent="0.3">
      <c r="B79" s="142" t="s">
        <v>41</v>
      </c>
      <c r="C79" s="143"/>
      <c r="D79" s="143"/>
      <c r="E79" s="143"/>
      <c r="F79" s="143"/>
      <c r="G79" s="143"/>
      <c r="H79" s="143"/>
      <c r="I79" s="143"/>
      <c r="J79" s="143"/>
      <c r="K79" s="143"/>
      <c r="L79" s="144"/>
      <c r="N79" s="58">
        <v>13</v>
      </c>
      <c r="O79" s="63">
        <f t="shared" si="35"/>
        <v>5.3093072360584781</v>
      </c>
      <c r="P79" s="64">
        <f t="shared" ca="1" si="25"/>
        <v>0</v>
      </c>
      <c r="Q79" s="65">
        <f t="shared" ca="1" si="26"/>
        <v>4.395859505313398</v>
      </c>
    </row>
    <row r="80" spans="2:17" ht="15.75" thickBot="1" x14ac:dyDescent="0.3">
      <c r="B80" s="38" t="s">
        <v>1</v>
      </c>
      <c r="C80" s="16">
        <v>0</v>
      </c>
      <c r="D80" s="2">
        <v>1</v>
      </c>
      <c r="E80" s="2">
        <v>2</v>
      </c>
      <c r="F80" s="2">
        <v>3</v>
      </c>
      <c r="G80" s="2">
        <v>4</v>
      </c>
      <c r="H80" s="2">
        <v>5</v>
      </c>
      <c r="I80" s="2">
        <v>6</v>
      </c>
      <c r="J80" s="2">
        <v>7</v>
      </c>
      <c r="K80" s="2">
        <v>8</v>
      </c>
      <c r="L80" s="3">
        <v>9</v>
      </c>
      <c r="N80" s="58">
        <v>14</v>
      </c>
      <c r="O80" s="63">
        <f t="shared" si="35"/>
        <v>-4.0953367787592594</v>
      </c>
      <c r="P80" s="64">
        <f t="shared" ca="1" si="25"/>
        <v>19</v>
      </c>
      <c r="Q80" s="65">
        <f t="shared" ca="1" si="26"/>
        <v>-2.8339979387175589</v>
      </c>
    </row>
    <row r="81" spans="2:17" x14ac:dyDescent="0.25">
      <c r="B81" s="37">
        <v>0</v>
      </c>
      <c r="C81" s="41">
        <f ca="1">C67*(SQRT(C39))+C39</f>
        <v>166.11224118279014</v>
      </c>
      <c r="D81" s="20">
        <f t="shared" ref="D81:L81" ca="1" si="36">D67*(SQRT(D39))+D39</f>
        <v>409.80824694719365</v>
      </c>
      <c r="E81" s="20">
        <f t="shared" ca="1" si="36"/>
        <v>492.59159201226254</v>
      </c>
      <c r="F81" s="20">
        <f t="shared" ca="1" si="36"/>
        <v>529.84576493628617</v>
      </c>
      <c r="G81" s="20">
        <f t="shared" ca="1" si="36"/>
        <v>359.46825394759395</v>
      </c>
      <c r="H81" s="20">
        <f t="shared" ca="1" si="36"/>
        <v>198.8243890676161</v>
      </c>
      <c r="I81" s="20">
        <f t="shared" ca="1" si="36"/>
        <v>267.40181016674018</v>
      </c>
      <c r="J81" s="20">
        <f t="shared" ca="1" si="36"/>
        <v>217.2715833885604</v>
      </c>
      <c r="K81" s="20">
        <f t="shared" ca="1" si="36"/>
        <v>254.65703172972098</v>
      </c>
      <c r="L81" s="21">
        <f t="shared" ca="1" si="36"/>
        <v>106.87247545600943</v>
      </c>
      <c r="N81" s="58">
        <v>15</v>
      </c>
      <c r="O81" s="63">
        <f t="shared" si="35"/>
        <v>1.5770633967265384</v>
      </c>
      <c r="P81" s="64">
        <f t="shared" ca="1" si="25"/>
        <v>34</v>
      </c>
      <c r="Q81" s="65">
        <f t="shared" ca="1" si="26"/>
        <v>4.2342108455346903</v>
      </c>
    </row>
    <row r="82" spans="2:17" x14ac:dyDescent="0.25">
      <c r="B82" s="4">
        <v>1</v>
      </c>
      <c r="C82" s="34">
        <f t="shared" ref="C82:K90" ca="1" si="37">C68*(SQRT(C40))+C40</f>
        <v>198.31543412460849</v>
      </c>
      <c r="D82" s="22">
        <f t="shared" ca="1" si="37"/>
        <v>564.68324633231259</v>
      </c>
      <c r="E82" s="22">
        <f t="shared" ca="1" si="37"/>
        <v>752.64866725863635</v>
      </c>
      <c r="F82" s="22">
        <f t="shared" ca="1" si="37"/>
        <v>828.86603689580249</v>
      </c>
      <c r="G82" s="22">
        <f t="shared" ca="1" si="37"/>
        <v>495.39754991659004</v>
      </c>
      <c r="H82" s="22">
        <f t="shared" ca="1" si="37"/>
        <v>335.75547144754483</v>
      </c>
      <c r="I82" s="22">
        <f t="shared" ca="1" si="37"/>
        <v>298.09358240149709</v>
      </c>
      <c r="J82" s="22">
        <f t="shared" ca="1" si="37"/>
        <v>254.52372138023421</v>
      </c>
      <c r="K82" s="22">
        <f t="shared" ca="1" si="37"/>
        <v>371.95787571249821</v>
      </c>
      <c r="L82" s="23"/>
      <c r="N82" s="58">
        <v>16</v>
      </c>
      <c r="O82" s="63">
        <f t="shared" si="35"/>
        <v>-3.3703966206964209</v>
      </c>
      <c r="P82" s="64">
        <f t="shared" ca="1" si="25"/>
        <v>33</v>
      </c>
      <c r="Q82" s="65">
        <f t="shared" ca="1" si="26"/>
        <v>-0.757895571636237</v>
      </c>
    </row>
    <row r="83" spans="2:17" x14ac:dyDescent="0.25">
      <c r="B83" s="4">
        <v>2</v>
      </c>
      <c r="C83" s="34">
        <f t="shared" ca="1" si="37"/>
        <v>196</v>
      </c>
      <c r="D83" s="22">
        <f t="shared" ca="1" si="37"/>
        <v>438.19674355294092</v>
      </c>
      <c r="E83" s="22">
        <f t="shared" ca="1" si="37"/>
        <v>633.59433669087787</v>
      </c>
      <c r="F83" s="22">
        <f t="shared" ca="1" si="37"/>
        <v>934.04528386560014</v>
      </c>
      <c r="G83" s="22">
        <f t="shared" ca="1" si="37"/>
        <v>339.31914587190943</v>
      </c>
      <c r="H83" s="22">
        <f t="shared" ca="1" si="37"/>
        <v>389.51759891611431</v>
      </c>
      <c r="I83" s="22">
        <f t="shared" ca="1" si="37"/>
        <v>294.81532451031399</v>
      </c>
      <c r="J83" s="22">
        <f t="shared" ca="1" si="37"/>
        <v>224.22603847474659</v>
      </c>
      <c r="K83" s="22"/>
      <c r="L83" s="23"/>
      <c r="N83" s="58">
        <v>17</v>
      </c>
      <c r="O83" s="63">
        <f>D60</f>
        <v>-2.6521238779018601</v>
      </c>
      <c r="P83" s="64">
        <f t="shared" ca="1" si="25"/>
        <v>38</v>
      </c>
      <c r="Q83" s="65">
        <f t="shared" ca="1" si="26"/>
        <v>-0.57145545732317626</v>
      </c>
    </row>
    <row r="84" spans="2:17" x14ac:dyDescent="0.25">
      <c r="B84" s="4">
        <v>3</v>
      </c>
      <c r="C84" s="34">
        <f t="shared" ca="1" si="37"/>
        <v>236.00586218031859</v>
      </c>
      <c r="D84" s="22">
        <f t="shared" ca="1" si="37"/>
        <v>744.99480459131655</v>
      </c>
      <c r="E84" s="22">
        <f t="shared" ca="1" si="37"/>
        <v>659.85487947236447</v>
      </c>
      <c r="F84" s="22">
        <f t="shared" ca="1" si="37"/>
        <v>875.22367953941182</v>
      </c>
      <c r="G84" s="22">
        <f t="shared" ca="1" si="37"/>
        <v>519.22616578792292</v>
      </c>
      <c r="H84" s="22">
        <f t="shared" ca="1" si="37"/>
        <v>427.07450741450123</v>
      </c>
      <c r="I84" s="22">
        <f t="shared" ca="1" si="37"/>
        <v>414.42223847819633</v>
      </c>
      <c r="J84" s="22"/>
      <c r="K84" s="22"/>
      <c r="L84" s="23"/>
      <c r="N84" s="58">
        <v>18</v>
      </c>
      <c r="O84" s="63">
        <f t="shared" si="35"/>
        <v>0.35300261900540758</v>
      </c>
      <c r="P84" s="64">
        <f t="shared" ca="1" si="25"/>
        <v>40</v>
      </c>
      <c r="Q84" s="65">
        <f t="shared" ca="1" si="26"/>
        <v>13.033340562533812</v>
      </c>
    </row>
    <row r="85" spans="2:17" x14ac:dyDescent="0.25">
      <c r="B85" s="4">
        <v>4</v>
      </c>
      <c r="C85" s="34">
        <f t="shared" ca="1" si="37"/>
        <v>254.81594406253984</v>
      </c>
      <c r="D85" s="22">
        <f t="shared" ca="1" si="37"/>
        <v>513.42363920309367</v>
      </c>
      <c r="E85" s="22">
        <f t="shared" ca="1" si="37"/>
        <v>541.69544877051715</v>
      </c>
      <c r="F85" s="22">
        <f t="shared" ca="1" si="37"/>
        <v>625.84810678702206</v>
      </c>
      <c r="G85" s="22">
        <f t="shared" ca="1" si="37"/>
        <v>401.19431581501578</v>
      </c>
      <c r="H85" s="22">
        <f t="shared" ca="1" si="37"/>
        <v>303.97125519753746</v>
      </c>
      <c r="I85" s="22"/>
      <c r="J85" s="22"/>
      <c r="K85" s="22"/>
      <c r="L85" s="23"/>
      <c r="N85" s="58">
        <v>19</v>
      </c>
      <c r="O85" s="63">
        <f>E53</f>
        <v>-2.8339979387175589</v>
      </c>
      <c r="P85" s="64">
        <f t="shared" ca="1" si="25"/>
        <v>29</v>
      </c>
      <c r="Q85" s="65">
        <f t="shared" ca="1" si="26"/>
        <v>-0.58433226940881722</v>
      </c>
    </row>
    <row r="86" spans="2:17" x14ac:dyDescent="0.25">
      <c r="B86" s="4">
        <v>5</v>
      </c>
      <c r="C86" s="34">
        <f t="shared" ca="1" si="37"/>
        <v>440.80778778515867</v>
      </c>
      <c r="D86" s="22">
        <f t="shared" ca="1" si="37"/>
        <v>716.73344843035545</v>
      </c>
      <c r="E86" s="22">
        <f t="shared" ca="1" si="37"/>
        <v>600.53990324906636</v>
      </c>
      <c r="F86" s="22">
        <f t="shared" ca="1" si="37"/>
        <v>711.4282007068158</v>
      </c>
      <c r="G86" s="22">
        <f t="shared" ca="1" si="37"/>
        <v>364.90177330938081</v>
      </c>
      <c r="H86" s="22"/>
      <c r="I86" s="22"/>
      <c r="J86" s="22"/>
      <c r="K86" s="22"/>
      <c r="L86" s="23"/>
      <c r="N86" s="58">
        <v>20</v>
      </c>
      <c r="O86" s="63">
        <f t="shared" ref="O86:O92" si="38">E54</f>
        <v>-1.2970468205875192</v>
      </c>
      <c r="P86" s="64">
        <f t="shared" ca="1" si="25"/>
        <v>53</v>
      </c>
      <c r="Q86" s="65">
        <f t="shared" ca="1" si="26"/>
        <v>1.8169523846766023</v>
      </c>
    </row>
    <row r="87" spans="2:17" x14ac:dyDescent="0.25">
      <c r="B87" s="4">
        <v>6</v>
      </c>
      <c r="C87" s="34">
        <f t="shared" ca="1" si="37"/>
        <v>361.01035699320556</v>
      </c>
      <c r="D87" s="22">
        <f t="shared" ca="1" si="37"/>
        <v>658.01255132764686</v>
      </c>
      <c r="E87" s="22">
        <f t="shared" ca="1" si="37"/>
        <v>880.86685607837171</v>
      </c>
      <c r="F87" s="22">
        <f t="shared" ca="1" si="37"/>
        <v>673.84280180573762</v>
      </c>
      <c r="G87" s="22"/>
      <c r="H87" s="22"/>
      <c r="I87" s="22"/>
      <c r="J87" s="22"/>
      <c r="K87" s="22"/>
      <c r="L87" s="23"/>
      <c r="N87" s="58">
        <v>21</v>
      </c>
      <c r="O87" s="63">
        <f t="shared" si="38"/>
        <v>-1.2200800394991738</v>
      </c>
      <c r="P87" s="64">
        <f t="shared" ca="1" si="25"/>
        <v>3</v>
      </c>
      <c r="Q87" s="65">
        <f t="shared" ca="1" si="26"/>
        <v>-2.4094700566450826</v>
      </c>
    </row>
    <row r="88" spans="2:17" x14ac:dyDescent="0.25">
      <c r="B88" s="4">
        <v>7</v>
      </c>
      <c r="C88" s="34">
        <f t="shared" ca="1" si="37"/>
        <v>216.47745643323623</v>
      </c>
      <c r="D88" s="22">
        <f t="shared" ca="1" si="37"/>
        <v>796.31189406652152</v>
      </c>
      <c r="E88" s="22">
        <f t="shared" ca="1" si="37"/>
        <v>689.76712986109817</v>
      </c>
      <c r="F88" s="22"/>
      <c r="G88" s="22"/>
      <c r="H88" s="22"/>
      <c r="I88" s="22"/>
      <c r="J88" s="22"/>
      <c r="K88" s="22"/>
      <c r="L88" s="23"/>
      <c r="N88" s="58">
        <v>22</v>
      </c>
      <c r="O88" s="63">
        <f t="shared" si="38"/>
        <v>-4.7587099990101356</v>
      </c>
      <c r="P88" s="64">
        <f t="shared" ca="1" si="25"/>
        <v>1</v>
      </c>
      <c r="Q88" s="65">
        <f t="shared" ca="1" si="26"/>
        <v>-1.0245034818472032</v>
      </c>
    </row>
    <row r="89" spans="2:17" x14ac:dyDescent="0.25">
      <c r="B89" s="4">
        <v>8</v>
      </c>
      <c r="C89" s="34">
        <f t="shared" ca="1" si="37"/>
        <v>309.92820328970072</v>
      </c>
      <c r="D89" s="22">
        <f t="shared" ca="1" si="37"/>
        <v>1014.6456541379255</v>
      </c>
      <c r="E89" s="22"/>
      <c r="F89" s="22"/>
      <c r="G89" s="22"/>
      <c r="H89" s="22"/>
      <c r="I89" s="22"/>
      <c r="J89" s="22"/>
      <c r="K89" s="22"/>
      <c r="L89" s="23"/>
      <c r="N89" s="58">
        <v>23</v>
      </c>
      <c r="O89" s="63">
        <f t="shared" si="38"/>
        <v>3.1932940255089988</v>
      </c>
      <c r="P89" s="64">
        <f t="shared" ca="1" si="25"/>
        <v>2</v>
      </c>
      <c r="Q89" s="65">
        <f t="shared" ca="1" si="26"/>
        <v>-3.5128756680943565</v>
      </c>
    </row>
    <row r="90" spans="2:17" ht="15.75" thickBot="1" x14ac:dyDescent="0.3">
      <c r="B90" s="11">
        <v>9</v>
      </c>
      <c r="C90" s="36">
        <f t="shared" ca="1" si="37"/>
        <v>275.96693229708779</v>
      </c>
      <c r="D90" s="24"/>
      <c r="E90" s="24"/>
      <c r="F90" s="24"/>
      <c r="G90" s="24"/>
      <c r="H90" s="24"/>
      <c r="I90" s="24"/>
      <c r="J90" s="24"/>
      <c r="K90" s="24"/>
      <c r="L90" s="25"/>
      <c r="N90" s="58">
        <v>24</v>
      </c>
      <c r="O90" s="63">
        <f t="shared" si="38"/>
        <v>-2.0030987723664344</v>
      </c>
      <c r="P90" s="64">
        <f t="shared" ca="1" si="25"/>
        <v>3</v>
      </c>
      <c r="Q90" s="65">
        <f t="shared" ca="1" si="26"/>
        <v>-2.4094700566450826</v>
      </c>
    </row>
    <row r="91" spans="2:17" ht="15.75" thickBot="1" x14ac:dyDescent="0.3">
      <c r="N91" s="58">
        <v>25</v>
      </c>
      <c r="O91" s="63">
        <f t="shared" si="38"/>
        <v>2.8148573256996841</v>
      </c>
      <c r="P91" s="64">
        <f t="shared" ca="1" si="25"/>
        <v>39</v>
      </c>
      <c r="Q91" s="65">
        <f t="shared" ca="1" si="26"/>
        <v>5.4310434904445897</v>
      </c>
    </row>
    <row r="92" spans="2:17" ht="15.75" thickBot="1" x14ac:dyDescent="0.3">
      <c r="B92" s="139" t="s">
        <v>43</v>
      </c>
      <c r="C92" s="140"/>
      <c r="D92" s="140"/>
      <c r="E92" s="140"/>
      <c r="F92" s="140"/>
      <c r="G92" s="140"/>
      <c r="H92" s="140"/>
      <c r="I92" s="140"/>
      <c r="J92" s="140"/>
      <c r="K92" s="140"/>
      <c r="L92" s="141"/>
      <c r="N92" s="58">
        <v>26</v>
      </c>
      <c r="O92" s="63">
        <f t="shared" si="38"/>
        <v>5.0654669744723417</v>
      </c>
      <c r="P92" s="64">
        <f t="shared" ca="1" si="25"/>
        <v>48</v>
      </c>
      <c r="Q92" s="65">
        <f t="shared" ca="1" si="26"/>
        <v>-6.4053783330652534</v>
      </c>
    </row>
    <row r="93" spans="2:17" ht="16.5" thickBot="1" x14ac:dyDescent="0.3">
      <c r="B93" s="142" t="s">
        <v>44</v>
      </c>
      <c r="C93" s="143"/>
      <c r="D93" s="143"/>
      <c r="E93" s="143"/>
      <c r="F93" s="143"/>
      <c r="G93" s="143"/>
      <c r="H93" s="143"/>
      <c r="I93" s="143"/>
      <c r="J93" s="143"/>
      <c r="K93" s="143"/>
      <c r="L93" s="144"/>
      <c r="N93" s="58">
        <v>27</v>
      </c>
      <c r="O93" s="63">
        <f>F53</f>
        <v>-8.1096684632095926</v>
      </c>
      <c r="P93" s="64">
        <f t="shared" ca="1" si="25"/>
        <v>21</v>
      </c>
      <c r="Q93" s="65">
        <f t="shared" ca="1" si="26"/>
        <v>-1.2200800394991738</v>
      </c>
    </row>
    <row r="94" spans="2:17" ht="15.75" thickBot="1" x14ac:dyDescent="0.3">
      <c r="B94" s="38" t="s">
        <v>1</v>
      </c>
      <c r="C94" s="16">
        <v>0</v>
      </c>
      <c r="D94" s="2">
        <v>1</v>
      </c>
      <c r="E94" s="2">
        <v>2</v>
      </c>
      <c r="F94" s="2">
        <v>3</v>
      </c>
      <c r="G94" s="2">
        <v>4</v>
      </c>
      <c r="H94" s="2">
        <v>5</v>
      </c>
      <c r="I94" s="2">
        <v>6</v>
      </c>
      <c r="J94" s="2">
        <v>7</v>
      </c>
      <c r="K94" s="2">
        <v>8</v>
      </c>
      <c r="L94" s="3">
        <v>9</v>
      </c>
      <c r="N94" s="58">
        <v>28</v>
      </c>
      <c r="O94" s="63">
        <f t="shared" ref="O94:O99" si="39">F54</f>
        <v>3.3990480665052294</v>
      </c>
      <c r="P94" s="64">
        <f t="shared" ca="1" si="25"/>
        <v>53</v>
      </c>
      <c r="Q94" s="65">
        <f t="shared" ca="1" si="26"/>
        <v>1.8169523846766023</v>
      </c>
    </row>
    <row r="95" spans="2:17" x14ac:dyDescent="0.25">
      <c r="B95" s="37">
        <v>0</v>
      </c>
      <c r="C95" s="41">
        <f ca="1">C81</f>
        <v>166.11224118279014</v>
      </c>
      <c r="D95" s="20">
        <f t="shared" ref="D95:D103" ca="1" si="40">C95+D81</f>
        <v>575.92048812998382</v>
      </c>
      <c r="E95" s="20">
        <f t="shared" ref="E95:L95" ca="1" si="41">D95+E81</f>
        <v>1068.5120801422463</v>
      </c>
      <c r="F95" s="20">
        <f t="shared" ca="1" si="41"/>
        <v>1598.3578450785326</v>
      </c>
      <c r="G95" s="20">
        <f t="shared" ca="1" si="41"/>
        <v>1957.8260990261265</v>
      </c>
      <c r="H95" s="20">
        <f t="shared" ca="1" si="41"/>
        <v>2156.6504880937428</v>
      </c>
      <c r="I95" s="20">
        <f t="shared" ca="1" si="41"/>
        <v>2424.052298260483</v>
      </c>
      <c r="J95" s="20">
        <f t="shared" ca="1" si="41"/>
        <v>2641.3238816490434</v>
      </c>
      <c r="K95" s="20">
        <f t="shared" ca="1" si="41"/>
        <v>2895.9809133787644</v>
      </c>
      <c r="L95" s="21">
        <f t="shared" ca="1" si="41"/>
        <v>3002.8533888347738</v>
      </c>
      <c r="N95" s="58">
        <v>29</v>
      </c>
      <c r="O95" s="63">
        <f t="shared" si="39"/>
        <v>-0.58433226940881722</v>
      </c>
      <c r="P95" s="64">
        <f t="shared" ca="1" si="25"/>
        <v>36</v>
      </c>
      <c r="Q95" s="65">
        <f t="shared" ca="1" si="26"/>
        <v>5.9031359514758339</v>
      </c>
    </row>
    <row r="96" spans="2:17" x14ac:dyDescent="0.25">
      <c r="B96" s="4">
        <v>1</v>
      </c>
      <c r="C96" s="34">
        <f t="shared" ref="C96:C104" ca="1" si="42">C82</f>
        <v>198.31543412460849</v>
      </c>
      <c r="D96" s="22">
        <f t="shared" ca="1" si="40"/>
        <v>762.99868045692108</v>
      </c>
      <c r="E96" s="22">
        <f t="shared" ref="E96:K96" ca="1" si="43">D96+E82</f>
        <v>1515.6473477155573</v>
      </c>
      <c r="F96" s="22">
        <f t="shared" ca="1" si="43"/>
        <v>2344.5133846113599</v>
      </c>
      <c r="G96" s="22">
        <f t="shared" ca="1" si="43"/>
        <v>2839.9109345279498</v>
      </c>
      <c r="H96" s="22">
        <f t="shared" ca="1" si="43"/>
        <v>3175.6664059754949</v>
      </c>
      <c r="I96" s="22">
        <f t="shared" ca="1" si="43"/>
        <v>3473.7599883769917</v>
      </c>
      <c r="J96" s="22">
        <f t="shared" ca="1" si="43"/>
        <v>3728.283709757226</v>
      </c>
      <c r="K96" s="22">
        <f t="shared" ca="1" si="43"/>
        <v>4100.2415854697247</v>
      </c>
      <c r="L96" s="23" t="s">
        <v>2</v>
      </c>
      <c r="N96" s="58">
        <v>30</v>
      </c>
      <c r="O96" s="63">
        <f t="shared" si="39"/>
        <v>13.956425169642831</v>
      </c>
      <c r="P96" s="64">
        <f t="shared" ca="1" si="25"/>
        <v>34</v>
      </c>
      <c r="Q96" s="65">
        <f t="shared" ca="1" si="26"/>
        <v>4.2342108455346903</v>
      </c>
    </row>
    <row r="97" spans="2:17" x14ac:dyDescent="0.25">
      <c r="B97" s="4">
        <v>2</v>
      </c>
      <c r="C97" s="34">
        <f t="shared" ca="1" si="42"/>
        <v>196</v>
      </c>
      <c r="D97" s="22">
        <f t="shared" ca="1" si="40"/>
        <v>634.19674355294092</v>
      </c>
      <c r="E97" s="22">
        <f t="shared" ref="E97:J97" ca="1" si="44">D97+E83</f>
        <v>1267.7910802438187</v>
      </c>
      <c r="F97" s="22">
        <f t="shared" ca="1" si="44"/>
        <v>2201.8363641094188</v>
      </c>
      <c r="G97" s="22">
        <f t="shared" ca="1" si="44"/>
        <v>2541.1555099813281</v>
      </c>
      <c r="H97" s="22">
        <f t="shared" ca="1" si="44"/>
        <v>2930.6731088974425</v>
      </c>
      <c r="I97" s="22">
        <f t="shared" ca="1" si="44"/>
        <v>3225.4884334077565</v>
      </c>
      <c r="J97" s="22">
        <f t="shared" ca="1" si="44"/>
        <v>3449.7144718825029</v>
      </c>
      <c r="K97" s="22" t="s">
        <v>2</v>
      </c>
      <c r="L97" s="23" t="s">
        <v>2</v>
      </c>
      <c r="N97" s="58">
        <v>31</v>
      </c>
      <c r="O97" s="63">
        <f t="shared" si="39"/>
        <v>-4.5418746092428499</v>
      </c>
      <c r="P97" s="64">
        <f t="shared" ca="1" si="25"/>
        <v>17</v>
      </c>
      <c r="Q97" s="65">
        <f t="shared" ca="1" si="26"/>
        <v>-2.6521238779018601</v>
      </c>
    </row>
    <row r="98" spans="2:17" x14ac:dyDescent="0.25">
      <c r="B98" s="4">
        <v>3</v>
      </c>
      <c r="C98" s="34">
        <f t="shared" ca="1" si="42"/>
        <v>236.00586218031859</v>
      </c>
      <c r="D98" s="22">
        <f t="shared" ca="1" si="40"/>
        <v>981.00066677163511</v>
      </c>
      <c r="E98" s="22">
        <f t="shared" ref="E98:I98" ca="1" si="45">D98+E84</f>
        <v>1640.8555462439995</v>
      </c>
      <c r="F98" s="22">
        <f t="shared" ca="1" si="45"/>
        <v>2516.0792257834114</v>
      </c>
      <c r="G98" s="22">
        <f t="shared" ca="1" si="45"/>
        <v>3035.3053915713344</v>
      </c>
      <c r="H98" s="22">
        <f t="shared" ca="1" si="45"/>
        <v>3462.3798989858356</v>
      </c>
      <c r="I98" s="22">
        <f t="shared" ca="1" si="45"/>
        <v>3876.8021374640321</v>
      </c>
      <c r="J98" s="22" t="s">
        <v>2</v>
      </c>
      <c r="K98" s="22" t="s">
        <v>2</v>
      </c>
      <c r="L98" s="23" t="s">
        <v>2</v>
      </c>
      <c r="N98" s="58">
        <v>32</v>
      </c>
      <c r="O98" s="63">
        <f t="shared" si="39"/>
        <v>-4.8026647527959225</v>
      </c>
      <c r="P98" s="64">
        <f t="shared" ca="1" si="25"/>
        <v>33</v>
      </c>
      <c r="Q98" s="65">
        <f t="shared" ca="1" si="26"/>
        <v>-0.757895571636237</v>
      </c>
    </row>
    <row r="99" spans="2:17" x14ac:dyDescent="0.25">
      <c r="B99" s="4">
        <v>4</v>
      </c>
      <c r="C99" s="34">
        <f t="shared" ca="1" si="42"/>
        <v>254.81594406253984</v>
      </c>
      <c r="D99" s="22">
        <f t="shared" ca="1" si="40"/>
        <v>768.23958326563354</v>
      </c>
      <c r="E99" s="22">
        <f t="shared" ref="E99:H99" ca="1" si="46">D99+E85</f>
        <v>1309.9350320361507</v>
      </c>
      <c r="F99" s="22">
        <f t="shared" ca="1" si="46"/>
        <v>1935.7831388231727</v>
      </c>
      <c r="G99" s="22">
        <f t="shared" ca="1" si="46"/>
        <v>2336.9774546381886</v>
      </c>
      <c r="H99" s="22">
        <f t="shared" ca="1" si="46"/>
        <v>2640.9487098357263</v>
      </c>
      <c r="I99" s="22" t="s">
        <v>2</v>
      </c>
      <c r="J99" s="22" t="s">
        <v>2</v>
      </c>
      <c r="K99" s="22" t="s">
        <v>2</v>
      </c>
      <c r="L99" s="23" t="s">
        <v>2</v>
      </c>
      <c r="N99" s="58">
        <v>33</v>
      </c>
      <c r="O99" s="63">
        <f t="shared" si="39"/>
        <v>-0.757895571636237</v>
      </c>
      <c r="P99" s="64">
        <f t="shared" ca="1" si="25"/>
        <v>32</v>
      </c>
      <c r="Q99" s="65">
        <f t="shared" ca="1" si="26"/>
        <v>-4.8026647527959225</v>
      </c>
    </row>
    <row r="100" spans="2:17" x14ac:dyDescent="0.25">
      <c r="B100" s="4">
        <v>5</v>
      </c>
      <c r="C100" s="34">
        <f t="shared" ca="1" si="42"/>
        <v>440.80778778515867</v>
      </c>
      <c r="D100" s="22">
        <f t="shared" ca="1" si="40"/>
        <v>1157.5412362155141</v>
      </c>
      <c r="E100" s="22">
        <f t="shared" ref="E100:G100" ca="1" si="47">D100+E86</f>
        <v>1758.0811394645805</v>
      </c>
      <c r="F100" s="22">
        <f t="shared" ca="1" si="47"/>
        <v>2469.5093401713962</v>
      </c>
      <c r="G100" s="22">
        <f t="shared" ca="1" si="47"/>
        <v>2834.4111134807772</v>
      </c>
      <c r="H100" s="22" t="s">
        <v>2</v>
      </c>
      <c r="I100" s="22" t="s">
        <v>2</v>
      </c>
      <c r="J100" s="22" t="s">
        <v>2</v>
      </c>
      <c r="K100" s="22" t="s">
        <v>2</v>
      </c>
      <c r="L100" s="23" t="s">
        <v>2</v>
      </c>
      <c r="N100" s="58">
        <v>34</v>
      </c>
      <c r="O100" s="63">
        <f>G53</f>
        <v>4.2342108455346903</v>
      </c>
      <c r="P100" s="64">
        <f t="shared" ca="1" si="25"/>
        <v>51</v>
      </c>
      <c r="Q100" s="65">
        <f t="shared" ca="1" si="26"/>
        <v>1.3621779650788126</v>
      </c>
    </row>
    <row r="101" spans="2:17" x14ac:dyDescent="0.25">
      <c r="B101" s="4">
        <v>6</v>
      </c>
      <c r="C101" s="34">
        <f t="shared" ca="1" si="42"/>
        <v>361.01035699320556</v>
      </c>
      <c r="D101" s="22">
        <f t="shared" ca="1" si="40"/>
        <v>1019.0229083208524</v>
      </c>
      <c r="E101" s="22">
        <f t="shared" ref="E101:F101" ca="1" si="48">D101+E87</f>
        <v>1899.8897643992241</v>
      </c>
      <c r="F101" s="22">
        <f t="shared" ca="1" si="48"/>
        <v>2573.7325662049616</v>
      </c>
      <c r="G101" s="22" t="s">
        <v>2</v>
      </c>
      <c r="H101" s="22" t="s">
        <v>2</v>
      </c>
      <c r="I101" s="22" t="s">
        <v>2</v>
      </c>
      <c r="J101" s="22" t="s">
        <v>2</v>
      </c>
      <c r="K101" s="22" t="s">
        <v>2</v>
      </c>
      <c r="L101" s="23" t="s">
        <v>2</v>
      </c>
      <c r="N101" s="58">
        <v>35</v>
      </c>
      <c r="O101" s="63">
        <f t="shared" ref="O101:O105" si="49">G54</f>
        <v>-4.5857721264303084</v>
      </c>
      <c r="P101" s="64">
        <f t="shared" ca="1" si="25"/>
        <v>51</v>
      </c>
      <c r="Q101" s="65">
        <f t="shared" ca="1" si="26"/>
        <v>1.3621779650788126</v>
      </c>
    </row>
    <row r="102" spans="2:17" x14ac:dyDescent="0.25">
      <c r="B102" s="4">
        <v>7</v>
      </c>
      <c r="C102" s="34">
        <f t="shared" ca="1" si="42"/>
        <v>216.47745643323623</v>
      </c>
      <c r="D102" s="22">
        <f t="shared" ca="1" si="40"/>
        <v>1012.7893504997578</v>
      </c>
      <c r="E102" s="22">
        <f ca="1">D102+E88</f>
        <v>1702.5564803608559</v>
      </c>
      <c r="F102" s="22" t="s">
        <v>2</v>
      </c>
      <c r="G102" s="22" t="s">
        <v>2</v>
      </c>
      <c r="H102" s="22" t="s">
        <v>2</v>
      </c>
      <c r="I102" s="22" t="s">
        <v>2</v>
      </c>
      <c r="J102" s="22" t="s">
        <v>2</v>
      </c>
      <c r="K102" s="22" t="s">
        <v>2</v>
      </c>
      <c r="L102" s="23" t="s">
        <v>2</v>
      </c>
      <c r="N102" s="58">
        <v>36</v>
      </c>
      <c r="O102" s="63">
        <f t="shared" si="49"/>
        <v>5.9031359514758339</v>
      </c>
      <c r="P102" s="64">
        <f t="shared" ca="1" si="25"/>
        <v>45</v>
      </c>
      <c r="Q102" s="65">
        <f t="shared" ca="1" si="26"/>
        <v>-5.6762786862548138</v>
      </c>
    </row>
    <row r="103" spans="2:17" x14ac:dyDescent="0.25">
      <c r="B103" s="4">
        <v>8</v>
      </c>
      <c r="C103" s="34">
        <f t="shared" ca="1" si="42"/>
        <v>309.92820328970072</v>
      </c>
      <c r="D103" s="22">
        <f t="shared" ca="1" si="40"/>
        <v>1324.5738574276261</v>
      </c>
      <c r="E103" s="22" t="s">
        <v>2</v>
      </c>
      <c r="F103" s="22" t="s">
        <v>2</v>
      </c>
      <c r="G103" s="22" t="s">
        <v>2</v>
      </c>
      <c r="H103" s="22" t="s">
        <v>2</v>
      </c>
      <c r="I103" s="22" t="s">
        <v>2</v>
      </c>
      <c r="J103" s="22" t="s">
        <v>2</v>
      </c>
      <c r="K103" s="22" t="s">
        <v>2</v>
      </c>
      <c r="L103" s="23" t="s">
        <v>2</v>
      </c>
      <c r="N103" s="58">
        <v>37</v>
      </c>
      <c r="O103" s="63">
        <f t="shared" si="49"/>
        <v>-9.7247103372134305</v>
      </c>
      <c r="P103" s="64">
        <f t="shared" ca="1" si="25"/>
        <v>10</v>
      </c>
      <c r="Q103" s="65">
        <f t="shared" ca="1" si="26"/>
        <v>3.0477231302899934</v>
      </c>
    </row>
    <row r="104" spans="2:17" ht="15.75" thickBot="1" x14ac:dyDescent="0.3">
      <c r="B104" s="11">
        <v>9</v>
      </c>
      <c r="C104" s="36">
        <f t="shared" ca="1" si="42"/>
        <v>275.96693229708779</v>
      </c>
      <c r="D104" s="24" t="s">
        <v>2</v>
      </c>
      <c r="E104" s="24" t="s">
        <v>2</v>
      </c>
      <c r="F104" s="24" t="s">
        <v>2</v>
      </c>
      <c r="G104" s="24" t="s">
        <v>2</v>
      </c>
      <c r="H104" s="24" t="s">
        <v>2</v>
      </c>
      <c r="I104" s="24" t="s">
        <v>2</v>
      </c>
      <c r="J104" s="24" t="s">
        <v>2</v>
      </c>
      <c r="K104" s="24" t="s">
        <v>2</v>
      </c>
      <c r="L104" s="25" t="s">
        <v>2</v>
      </c>
      <c r="N104" s="58">
        <v>38</v>
      </c>
      <c r="O104" s="63">
        <f t="shared" si="49"/>
        <v>-0.57145545732317626</v>
      </c>
      <c r="P104" s="64">
        <f t="shared" ca="1" si="25"/>
        <v>33</v>
      </c>
      <c r="Q104" s="65">
        <f t="shared" ca="1" si="26"/>
        <v>-0.757895571636237</v>
      </c>
    </row>
    <row r="105" spans="2:17" x14ac:dyDescent="0.25">
      <c r="N105" s="58">
        <v>39</v>
      </c>
      <c r="O105" s="63">
        <f t="shared" si="49"/>
        <v>5.4310434904445897</v>
      </c>
      <c r="P105" s="64">
        <f t="shared" ca="1" si="25"/>
        <v>41</v>
      </c>
      <c r="Q105" s="65">
        <f t="shared" ca="1" si="26"/>
        <v>-3.5058157523211269</v>
      </c>
    </row>
    <row r="106" spans="2:17" ht="15.75" thickBot="1" x14ac:dyDescent="0.3">
      <c r="N106" s="58">
        <v>40</v>
      </c>
      <c r="O106" s="66">
        <f>H53</f>
        <v>13.033340562533812</v>
      </c>
      <c r="P106" s="64">
        <f t="shared" ca="1" si="25"/>
        <v>2</v>
      </c>
      <c r="Q106" s="65">
        <f t="shared" ca="1" si="26"/>
        <v>-3.5128756680943565</v>
      </c>
    </row>
    <row r="107" spans="2:17" ht="15.75" thickBot="1" x14ac:dyDescent="0.3">
      <c r="B107" s="139" t="s">
        <v>45</v>
      </c>
      <c r="C107" s="140"/>
      <c r="D107" s="140"/>
      <c r="E107" s="140"/>
      <c r="F107" s="140"/>
      <c r="G107" s="140"/>
      <c r="H107" s="140"/>
      <c r="I107" s="140"/>
      <c r="J107" s="140"/>
      <c r="K107" s="140"/>
      <c r="L107" s="141"/>
      <c r="N107" s="58">
        <v>41</v>
      </c>
      <c r="O107" s="66">
        <f t="shared" ref="O107:O110" si="50">H54</f>
        <v>-3.5058157523211269</v>
      </c>
      <c r="P107" s="64">
        <f t="shared" ca="1" si="25"/>
        <v>1</v>
      </c>
      <c r="Q107" s="65">
        <f t="shared" ca="1" si="26"/>
        <v>-1.0245034818472032</v>
      </c>
    </row>
    <row r="108" spans="2:17" ht="15.75" thickBot="1" x14ac:dyDescent="0.3">
      <c r="B108" s="42" t="s">
        <v>1</v>
      </c>
      <c r="C108" s="71">
        <v>0</v>
      </c>
      <c r="D108" s="72">
        <v>1</v>
      </c>
      <c r="E108" s="72">
        <v>2</v>
      </c>
      <c r="F108" s="72">
        <v>3</v>
      </c>
      <c r="G108" s="72">
        <v>4</v>
      </c>
      <c r="H108" s="72">
        <v>5</v>
      </c>
      <c r="I108" s="72">
        <v>6</v>
      </c>
      <c r="J108" s="72">
        <v>7</v>
      </c>
      <c r="K108" s="72">
        <v>8</v>
      </c>
      <c r="L108" s="73">
        <v>9</v>
      </c>
      <c r="N108" s="58">
        <v>42</v>
      </c>
      <c r="O108" s="66">
        <f t="shared" si="50"/>
        <v>-10.05136321504339</v>
      </c>
      <c r="P108" s="64">
        <f t="shared" ca="1" si="25"/>
        <v>6</v>
      </c>
      <c r="Q108" s="65">
        <f t="shared" ca="1" si="26"/>
        <v>2.0319103555647251</v>
      </c>
    </row>
    <row r="109" spans="2:17" ht="15.75" thickBot="1" x14ac:dyDescent="0.3">
      <c r="B109" s="74" t="s">
        <v>3</v>
      </c>
      <c r="C109" s="75">
        <f ca="1">SUM(D95:D103)/SUM(C95:C103)</f>
        <v>3.4613893599570345</v>
      </c>
      <c r="D109" s="76">
        <f ca="1">SUM(E95:E102)/SUM(D95:D102)</f>
        <v>1.7598060499998767</v>
      </c>
      <c r="E109" s="76">
        <f ca="1">SUM(F95:F101)/SUM(E95:E101)</f>
        <v>1.4951001307909153</v>
      </c>
      <c r="F109" s="76">
        <f ca="1">SUM(G95:G100)/SUM(F95:F100)</f>
        <v>1.1897667347632273</v>
      </c>
      <c r="G109" s="76">
        <f ca="1">SUM(H95:H99)/SUM(G95:G99)</f>
        <v>1.1302116579540429</v>
      </c>
      <c r="H109" s="76">
        <f ca="1">SUM(I95:I98)/SUM(H95:H98)</f>
        <v>1.1087157988375682</v>
      </c>
      <c r="I109" s="76">
        <f ca="1">SUM(J95:J97)/SUM(I95:I97)</f>
        <v>1.0762905185964418</v>
      </c>
      <c r="J109" s="76">
        <f ca="1">SUM(K95:K96)/SUM(J95:J96)</f>
        <v>1.0983757473988875</v>
      </c>
      <c r="K109" s="76">
        <f ca="1">SUM(L95)/SUM(K95)</f>
        <v>1.0369037223147028</v>
      </c>
      <c r="L109" s="77">
        <v>1</v>
      </c>
      <c r="N109" s="58">
        <v>43</v>
      </c>
      <c r="O109" s="66">
        <f t="shared" si="50"/>
        <v>-1.6730969579217987</v>
      </c>
      <c r="P109" s="64">
        <f t="shared" ca="1" si="25"/>
        <v>44</v>
      </c>
      <c r="Q109" s="65">
        <f t="shared" ca="1" si="26"/>
        <v>4.3509593842955185</v>
      </c>
    </row>
    <row r="110" spans="2:17" ht="15.75" thickBot="1" x14ac:dyDescent="0.3">
      <c r="B110" s="40" t="s">
        <v>4</v>
      </c>
      <c r="C110" s="78">
        <f ca="1">PRODUCT(C109:L109)-1</f>
        <v>15.643561459535597</v>
      </c>
      <c r="D110" s="78">
        <f ca="1">PRODUCT(D109:L109)-1</f>
        <v>3.8083470909329291</v>
      </c>
      <c r="E110" s="78">
        <f ca="1">PRODUCT(E109:L109)-1</f>
        <v>1.7323164907480941</v>
      </c>
      <c r="F110" s="78">
        <f ca="1">PRODUCT(F109:L109)-1</f>
        <v>0.82751404703756193</v>
      </c>
      <c r="G110" s="78">
        <f ca="1">PRODUCT(G109:L109)-1</f>
        <v>0.53602718385066606</v>
      </c>
      <c r="H110" s="78">
        <f ca="1">PRODUCT(H109:L109)-1</f>
        <v>0.35906152890976872</v>
      </c>
      <c r="I110" s="78">
        <f ca="1">PRODUCT(I109:L109)-1</f>
        <v>0.22579792795834175</v>
      </c>
      <c r="J110" s="78">
        <f ca="1">PRODUCT(J109:L109)-1</f>
        <v>0.1389099009781003</v>
      </c>
      <c r="K110" s="78">
        <f ca="1">PRODUCT(K109:L109)-1</f>
        <v>3.6903722314702847E-2</v>
      </c>
      <c r="L110" s="103">
        <f>PRODUCT(L109)-1</f>
        <v>0</v>
      </c>
      <c r="N110" s="58">
        <v>44</v>
      </c>
      <c r="O110" s="66">
        <f t="shared" si="50"/>
        <v>4.3509593842955185</v>
      </c>
      <c r="P110" s="64">
        <f t="shared" ca="1" si="25"/>
        <v>33</v>
      </c>
      <c r="Q110" s="65">
        <f t="shared" ca="1" si="26"/>
        <v>-0.757895571636237</v>
      </c>
    </row>
    <row r="111" spans="2:17" x14ac:dyDescent="0.25">
      <c r="N111" s="58">
        <v>45</v>
      </c>
      <c r="O111" s="66">
        <f>I53</f>
        <v>-5.6762786862548138</v>
      </c>
      <c r="P111" s="64">
        <f t="shared" ca="1" si="25"/>
        <v>51</v>
      </c>
      <c r="Q111" s="65">
        <f t="shared" ca="1" si="26"/>
        <v>1.3621779650788126</v>
      </c>
    </row>
    <row r="112" spans="2:17" ht="15.75" thickBot="1" x14ac:dyDescent="0.3">
      <c r="N112" s="58">
        <v>46</v>
      </c>
      <c r="O112" s="66">
        <f t="shared" ref="O112:O114" si="51">I54</f>
        <v>6.1204318049211235</v>
      </c>
      <c r="P112" s="64">
        <f t="shared" ca="1" si="25"/>
        <v>3</v>
      </c>
      <c r="Q112" s="65">
        <f t="shared" ca="1" si="26"/>
        <v>-2.4094700566450826</v>
      </c>
    </row>
    <row r="113" spans="2:17" ht="15.75" thickBot="1" x14ac:dyDescent="0.3">
      <c r="B113" s="116" t="s">
        <v>46</v>
      </c>
      <c r="C113" s="117"/>
      <c r="D113" s="117"/>
      <c r="E113" s="117"/>
      <c r="F113" s="117"/>
      <c r="G113" s="117"/>
      <c r="H113" s="117"/>
      <c r="I113" s="117"/>
      <c r="J113" s="117"/>
      <c r="K113" s="117"/>
      <c r="L113" s="118"/>
      <c r="N113" s="58">
        <v>47</v>
      </c>
      <c r="O113" s="66">
        <f t="shared" si="51"/>
        <v>5.0392821991310761</v>
      </c>
      <c r="P113" s="64">
        <f t="shared" ca="1" si="25"/>
        <v>3</v>
      </c>
      <c r="Q113" s="65">
        <f t="shared" ca="1" si="26"/>
        <v>-2.4094700566450826</v>
      </c>
    </row>
    <row r="114" spans="2:17" ht="16.5" thickBot="1" x14ac:dyDescent="0.3">
      <c r="B114" s="142" t="s">
        <v>49</v>
      </c>
      <c r="C114" s="143"/>
      <c r="D114" s="143"/>
      <c r="E114" s="143"/>
      <c r="F114" s="143"/>
      <c r="G114" s="143"/>
      <c r="H114" s="143"/>
      <c r="I114" s="143"/>
      <c r="J114" s="143"/>
      <c r="K114" s="143"/>
      <c r="L114" s="144"/>
      <c r="N114" s="58">
        <v>48</v>
      </c>
      <c r="O114" s="66">
        <f t="shared" si="51"/>
        <v>-6.4053783330652534</v>
      </c>
      <c r="P114" s="64">
        <f t="shared" ca="1" si="25"/>
        <v>0</v>
      </c>
      <c r="Q114" s="65">
        <f t="shared" ca="1" si="26"/>
        <v>4.395859505313398</v>
      </c>
    </row>
    <row r="115" spans="2:17" ht="15.75" thickBot="1" x14ac:dyDescent="0.3">
      <c r="B115" s="38" t="s">
        <v>1</v>
      </c>
      <c r="C115" s="16">
        <v>0</v>
      </c>
      <c r="D115" s="2">
        <v>1</v>
      </c>
      <c r="E115" s="2">
        <v>2</v>
      </c>
      <c r="F115" s="2">
        <v>3</v>
      </c>
      <c r="G115" s="2">
        <v>4</v>
      </c>
      <c r="H115" s="2">
        <v>5</v>
      </c>
      <c r="I115" s="2">
        <v>6</v>
      </c>
      <c r="J115" s="2">
        <v>7</v>
      </c>
      <c r="K115" s="2">
        <v>8</v>
      </c>
      <c r="L115" s="3">
        <v>9</v>
      </c>
      <c r="N115" s="58">
        <v>49</v>
      </c>
      <c r="O115" s="66">
        <f>J53</f>
        <v>-2.2758834513593782</v>
      </c>
      <c r="P115" s="64">
        <f t="shared" ca="1" si="25"/>
        <v>6</v>
      </c>
      <c r="Q115" s="65">
        <f t="shared" ca="1" si="26"/>
        <v>2.0319103555647251</v>
      </c>
    </row>
    <row r="116" spans="2:17" x14ac:dyDescent="0.25">
      <c r="B116" s="37">
        <v>0</v>
      </c>
      <c r="C116" s="41">
        <f t="shared" ref="C116:K116" ca="1" si="52">C95</f>
        <v>166.11224118279014</v>
      </c>
      <c r="D116" s="20">
        <f t="shared" ca="1" si="52"/>
        <v>575.92048812998382</v>
      </c>
      <c r="E116" s="20">
        <f t="shared" ca="1" si="52"/>
        <v>1068.5120801422463</v>
      </c>
      <c r="F116" s="20">
        <f t="shared" ca="1" si="52"/>
        <v>1598.3578450785326</v>
      </c>
      <c r="G116" s="20">
        <f t="shared" ca="1" si="52"/>
        <v>1957.8260990261265</v>
      </c>
      <c r="H116" s="20">
        <f t="shared" ca="1" si="52"/>
        <v>2156.6504880937428</v>
      </c>
      <c r="I116" s="20">
        <f t="shared" ca="1" si="52"/>
        <v>2424.052298260483</v>
      </c>
      <c r="J116" s="20">
        <f t="shared" ca="1" si="52"/>
        <v>2641.3238816490434</v>
      </c>
      <c r="K116" s="20">
        <f t="shared" ca="1" si="52"/>
        <v>2895.9809133787644</v>
      </c>
      <c r="L116" s="21">
        <f ca="1">L95+O130</f>
        <v>3002.8533888347738</v>
      </c>
      <c r="N116" s="58">
        <v>50</v>
      </c>
      <c r="O116" s="66">
        <f t="shared" ref="O116:O117" si="53">J54</f>
        <v>0.57319184971087045</v>
      </c>
      <c r="P116" s="64">
        <f t="shared" ca="1" si="25"/>
        <v>8</v>
      </c>
      <c r="Q116" s="65">
        <f t="shared" ca="1" si="26"/>
        <v>-0.56460804378339036</v>
      </c>
    </row>
    <row r="117" spans="2:17" x14ac:dyDescent="0.25">
      <c r="B117" s="4">
        <v>1</v>
      </c>
      <c r="C117" s="34">
        <f t="shared" ref="C117:K117" ca="1" si="54">C96</f>
        <v>198.31543412460849</v>
      </c>
      <c r="D117" s="22">
        <f t="shared" ca="1" si="54"/>
        <v>762.99868045692108</v>
      </c>
      <c r="E117" s="22">
        <f t="shared" ca="1" si="54"/>
        <v>1515.6473477155573</v>
      </c>
      <c r="F117" s="22">
        <f t="shared" ca="1" si="54"/>
        <v>2344.5133846113599</v>
      </c>
      <c r="G117" s="22">
        <f t="shared" ca="1" si="54"/>
        <v>2839.9109345279498</v>
      </c>
      <c r="H117" s="22">
        <f t="shared" ca="1" si="54"/>
        <v>3175.6664059754949</v>
      </c>
      <c r="I117" s="22">
        <f t="shared" ca="1" si="54"/>
        <v>3473.7599883769917</v>
      </c>
      <c r="J117" s="22">
        <f t="shared" ca="1" si="54"/>
        <v>3728.283709757226</v>
      </c>
      <c r="K117" s="22">
        <f t="shared" ca="1" si="54"/>
        <v>4100.2415854697247</v>
      </c>
      <c r="L117" s="101">
        <f ca="1">O131+K96</f>
        <v>4251.5557623630966</v>
      </c>
      <c r="N117" s="58">
        <v>51</v>
      </c>
      <c r="O117" s="66">
        <f t="shared" si="53"/>
        <v>1.3621779650788126</v>
      </c>
      <c r="P117" s="64">
        <f t="shared" ca="1" si="25"/>
        <v>49</v>
      </c>
      <c r="Q117" s="65">
        <f t="shared" ca="1" si="26"/>
        <v>-2.2758834513593782</v>
      </c>
    </row>
    <row r="118" spans="2:17" x14ac:dyDescent="0.25">
      <c r="B118" s="4">
        <v>2</v>
      </c>
      <c r="C118" s="34">
        <f t="shared" ref="C118:J118" ca="1" si="55">C97</f>
        <v>196</v>
      </c>
      <c r="D118" s="22">
        <f t="shared" ca="1" si="55"/>
        <v>634.19674355294092</v>
      </c>
      <c r="E118" s="22">
        <f t="shared" ca="1" si="55"/>
        <v>1267.7910802438187</v>
      </c>
      <c r="F118" s="22">
        <f t="shared" ca="1" si="55"/>
        <v>2201.8363641094188</v>
      </c>
      <c r="G118" s="22">
        <f t="shared" ca="1" si="55"/>
        <v>2541.1555099813281</v>
      </c>
      <c r="H118" s="22">
        <f t="shared" ca="1" si="55"/>
        <v>2930.6731088974425</v>
      </c>
      <c r="I118" s="22">
        <f t="shared" ca="1" si="55"/>
        <v>3225.4884334077565</v>
      </c>
      <c r="J118" s="22">
        <f t="shared" ca="1" si="55"/>
        <v>3449.7144718825029</v>
      </c>
      <c r="K118" s="102">
        <f ca="1">$L$118/(1+K110)</f>
        <v>3789.0827113667028</v>
      </c>
      <c r="L118" s="101">
        <f ca="1">O132+J97</f>
        <v>3928.9139675744209</v>
      </c>
      <c r="N118" s="58">
        <v>52</v>
      </c>
      <c r="O118" s="66">
        <f>K53</f>
        <v>-2.1443740282376202</v>
      </c>
      <c r="P118" s="64">
        <f t="shared" ca="1" si="25"/>
        <v>33</v>
      </c>
      <c r="Q118" s="65">
        <f t="shared" ca="1" si="26"/>
        <v>-0.757895571636237</v>
      </c>
    </row>
    <row r="119" spans="2:17" x14ac:dyDescent="0.25">
      <c r="B119" s="4">
        <v>3</v>
      </c>
      <c r="C119" s="34">
        <f t="shared" ref="C119:I119" ca="1" si="56">C98</f>
        <v>236.00586218031859</v>
      </c>
      <c r="D119" s="22">
        <f t="shared" ca="1" si="56"/>
        <v>981.00066677163511</v>
      </c>
      <c r="E119" s="22">
        <f t="shared" ca="1" si="56"/>
        <v>1640.8555462439995</v>
      </c>
      <c r="F119" s="22">
        <f t="shared" ca="1" si="56"/>
        <v>2516.0792257834114</v>
      </c>
      <c r="G119" s="22">
        <f t="shared" ca="1" si="56"/>
        <v>3035.3053915713344</v>
      </c>
      <c r="H119" s="22">
        <f t="shared" ca="1" si="56"/>
        <v>3462.3798989858356</v>
      </c>
      <c r="I119" s="22">
        <f t="shared" ca="1" si="56"/>
        <v>3876.8021374640321</v>
      </c>
      <c r="J119" s="102">
        <f ca="1">$L$119/(1+J110)</f>
        <v>4172.5653830269575</v>
      </c>
      <c r="K119" s="102">
        <f ca="1">$L$119/(1+K110)</f>
        <v>4583.0446211529597</v>
      </c>
      <c r="L119" s="101">
        <f ca="1">O133+I98</f>
        <v>4752.1760272078809</v>
      </c>
      <c r="N119" s="58">
        <v>53</v>
      </c>
      <c r="O119" s="66">
        <f>K54</f>
        <v>1.8169523846766023</v>
      </c>
      <c r="P119" s="64">
        <f t="shared" ca="1" si="25"/>
        <v>9</v>
      </c>
      <c r="Q119" s="65">
        <f t="shared" ca="1" si="26"/>
        <v>0</v>
      </c>
    </row>
    <row r="120" spans="2:17" ht="15.75" thickBot="1" x14ac:dyDescent="0.3">
      <c r="B120" s="4">
        <v>4</v>
      </c>
      <c r="C120" s="34">
        <f t="shared" ref="C120:H120" ca="1" si="57">C99</f>
        <v>254.81594406253984</v>
      </c>
      <c r="D120" s="22">
        <f t="shared" ca="1" si="57"/>
        <v>768.23958326563354</v>
      </c>
      <c r="E120" s="22">
        <f t="shared" ca="1" si="57"/>
        <v>1309.9350320361507</v>
      </c>
      <c r="F120" s="22">
        <f t="shared" ca="1" si="57"/>
        <v>1935.7831388231727</v>
      </c>
      <c r="G120" s="22">
        <f t="shared" ca="1" si="57"/>
        <v>2336.9774546381886</v>
      </c>
      <c r="H120" s="22">
        <f t="shared" ca="1" si="57"/>
        <v>2640.9487098357263</v>
      </c>
      <c r="I120" s="102">
        <f ca="1">$L$120/(1+I110)</f>
        <v>2928.0615585145624</v>
      </c>
      <c r="J120" s="102">
        <f ca="1">$L$120/(1+J110)</f>
        <v>3151.444893295944</v>
      </c>
      <c r="K120" s="102">
        <f ca="1">$L$120/(1+K110)</f>
        <v>3461.47064006034</v>
      </c>
      <c r="L120" s="101">
        <f ca="1">O134+H99</f>
        <v>3589.2117913616235</v>
      </c>
      <c r="N120" s="67">
        <v>54</v>
      </c>
      <c r="O120" s="68">
        <f>L53</f>
        <v>0</v>
      </c>
      <c r="P120" s="69">
        <f t="shared" ca="1" si="25"/>
        <v>33</v>
      </c>
      <c r="Q120" s="70">
        <f t="shared" ca="1" si="26"/>
        <v>-0.757895571636237</v>
      </c>
    </row>
    <row r="121" spans="2:17" x14ac:dyDescent="0.25">
      <c r="B121" s="4">
        <v>5</v>
      </c>
      <c r="C121" s="34">
        <f ca="1">C100</f>
        <v>440.80778778515867</v>
      </c>
      <c r="D121" s="22">
        <f ca="1">D100</f>
        <v>1157.5412362155141</v>
      </c>
      <c r="E121" s="22">
        <f ca="1">E100</f>
        <v>1758.0811394645805</v>
      </c>
      <c r="F121" s="22">
        <f ca="1">F100</f>
        <v>2469.5093401713962</v>
      </c>
      <c r="G121" s="22">
        <f ca="1">G100</f>
        <v>2834.4111134807772</v>
      </c>
      <c r="H121" s="102">
        <f ca="1">$L$121/(1+H110)</f>
        <v>3203.4844838904742</v>
      </c>
      <c r="I121" s="102">
        <f ca="1">$L$121/(1+I110)</f>
        <v>3551.7538586203818</v>
      </c>
      <c r="J121" s="102">
        <f ca="1">$L$121/(1+J110)</f>
        <v>3822.7190024214437</v>
      </c>
      <c r="K121" s="102">
        <f ca="1">$L$121/(1+K110)</f>
        <v>4198.7818413805835</v>
      </c>
      <c r="L121" s="101">
        <f ca="1">O135+G100</f>
        <v>4353.7325205149091</v>
      </c>
      <c r="N121" s="53"/>
    </row>
    <row r="122" spans="2:17" x14ac:dyDescent="0.25">
      <c r="B122" s="4">
        <v>6</v>
      </c>
      <c r="C122" s="34">
        <f ca="1">C101</f>
        <v>361.01035699320556</v>
      </c>
      <c r="D122" s="22">
        <f ca="1">D101</f>
        <v>1019.0229083208524</v>
      </c>
      <c r="E122" s="22">
        <f ca="1">E101</f>
        <v>1899.8897643992241</v>
      </c>
      <c r="F122" s="22">
        <f ca="1">F101</f>
        <v>2573.7325662049616</v>
      </c>
      <c r="G122" s="102">
        <f ca="1">$L$122/(G110+1)</f>
        <v>3062.1413914474579</v>
      </c>
      <c r="H122" s="102">
        <f ca="1">$L$122/(H110+1)</f>
        <v>3460.8678989175314</v>
      </c>
      <c r="I122" s="102">
        <f ca="1">$L$122/(I110+1)</f>
        <v>3837.1189172196468</v>
      </c>
      <c r="J122" s="102">
        <f ca="1">$L$122/(J110+1)</f>
        <v>4129.8547093305506</v>
      </c>
      <c r="K122" s="102">
        <f ca="1">$L$122/(K110+1)</f>
        <v>4536.1322530097596</v>
      </c>
      <c r="L122" s="101">
        <f ca="1">O136+F101</f>
        <v>4703.532418057599</v>
      </c>
    </row>
    <row r="123" spans="2:17" x14ac:dyDescent="0.25">
      <c r="B123" s="4">
        <v>7</v>
      </c>
      <c r="C123" s="34">
        <f ca="1">C102</f>
        <v>216.47745643323623</v>
      </c>
      <c r="D123" s="22">
        <f ca="1">D102</f>
        <v>1012.7893504997578</v>
      </c>
      <c r="E123" s="22">
        <f ca="1">E102</f>
        <v>1702.5564803608559</v>
      </c>
      <c r="F123" s="102">
        <f t="shared" ref="F123:K123" ca="1" si="58">$L$123/(1+F110)</f>
        <v>2545.4924164664362</v>
      </c>
      <c r="G123" s="102">
        <f t="shared" ca="1" si="58"/>
        <v>3028.5422007038283</v>
      </c>
      <c r="H123" s="102">
        <f t="shared" ca="1" si="58"/>
        <v>3422.8937018412594</v>
      </c>
      <c r="I123" s="102">
        <f t="shared" ca="1" si="58"/>
        <v>3795.0163249730131</v>
      </c>
      <c r="J123" s="102">
        <f t="shared" ca="1" si="58"/>
        <v>4084.5400884871669</v>
      </c>
      <c r="K123" s="102">
        <f t="shared" ca="1" si="58"/>
        <v>4486.3597724728097</v>
      </c>
      <c r="L123" s="101">
        <f ca="1">O137+E102</f>
        <v>4651.9231477200001</v>
      </c>
    </row>
    <row r="124" spans="2:17" x14ac:dyDescent="0.25">
      <c r="B124" s="4">
        <v>8</v>
      </c>
      <c r="C124" s="34">
        <f ca="1">C103</f>
        <v>309.92820328970072</v>
      </c>
      <c r="D124" s="22">
        <f ca="1">D103</f>
        <v>1324.5738574276261</v>
      </c>
      <c r="E124" s="102">
        <f t="shared" ref="E124:K124" ca="1" si="59">$L$124/(1+E110)</f>
        <v>2330.9930879728108</v>
      </c>
      <c r="F124" s="102">
        <f t="shared" ca="1" si="59"/>
        <v>3485.0680707008692</v>
      </c>
      <c r="G124" s="102">
        <f t="shared" ca="1" si="59"/>
        <v>4146.4180589053522</v>
      </c>
      <c r="H124" s="102">
        <f t="shared" ca="1" si="59"/>
        <v>4686.3300289260023</v>
      </c>
      <c r="I124" s="102">
        <f t="shared" ca="1" si="59"/>
        <v>5195.808141637177</v>
      </c>
      <c r="J124" s="102">
        <f t="shared" ca="1" si="59"/>
        <v>5592.1990392902917</v>
      </c>
      <c r="K124" s="102">
        <f t="shared" ca="1" si="59"/>
        <v>6142.3357993838154</v>
      </c>
      <c r="L124" s="101">
        <f ca="1">O138+D103</f>
        <v>6369.0108540879337</v>
      </c>
    </row>
    <row r="125" spans="2:17" ht="15.75" thickBot="1" x14ac:dyDescent="0.3">
      <c r="B125" s="11">
        <v>9</v>
      </c>
      <c r="C125" s="36">
        <f ca="1">C104</f>
        <v>275.96693229708779</v>
      </c>
      <c r="D125" s="84">
        <f t="shared" ref="D125:K125" ca="1" si="60">$L$125/(1+D110)</f>
        <v>955.2290031531229</v>
      </c>
      <c r="E125" s="84">
        <f t="shared" ca="1" si="60"/>
        <v>1681.0177788842173</v>
      </c>
      <c r="F125" s="84">
        <f t="shared" ca="1" si="60"/>
        <v>2513.2899010716474</v>
      </c>
      <c r="G125" s="84">
        <f t="shared" ca="1" si="60"/>
        <v>2990.2287191114078</v>
      </c>
      <c r="H125" s="84">
        <f t="shared" ca="1" si="60"/>
        <v>3379.5913582886983</v>
      </c>
      <c r="I125" s="84">
        <f t="shared" ca="1" si="60"/>
        <v>3747.0063325495962</v>
      </c>
      <c r="J125" s="84">
        <f t="shared" ca="1" si="60"/>
        <v>4032.8673888439562</v>
      </c>
      <c r="K125" s="84">
        <f t="shared" ca="1" si="60"/>
        <v>4429.6037323820801</v>
      </c>
      <c r="L125" s="104">
        <f ca="1">O139+C104</f>
        <v>4593.0725984860801</v>
      </c>
    </row>
    <row r="126" spans="2:17" ht="15.75" thickBot="1" x14ac:dyDescent="0.3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44"/>
    </row>
    <row r="127" spans="2:17" ht="15.75" thickBot="1" x14ac:dyDescent="0.3">
      <c r="B127" s="139" t="s">
        <v>47</v>
      </c>
      <c r="C127" s="140"/>
      <c r="D127" s="140"/>
      <c r="E127" s="140"/>
      <c r="F127" s="140"/>
      <c r="G127" s="140"/>
      <c r="H127" s="140"/>
      <c r="I127" s="140"/>
      <c r="J127" s="140"/>
      <c r="K127" s="140"/>
      <c r="L127" s="141"/>
    </row>
    <row r="128" spans="2:17" ht="16.5" thickBot="1" x14ac:dyDescent="0.3">
      <c r="B128" s="142" t="s">
        <v>48</v>
      </c>
      <c r="C128" s="143"/>
      <c r="D128" s="143"/>
      <c r="E128" s="143"/>
      <c r="F128" s="143"/>
      <c r="G128" s="143"/>
      <c r="H128" s="143"/>
      <c r="I128" s="143"/>
      <c r="J128" s="143"/>
      <c r="K128" s="143"/>
      <c r="L128" s="144"/>
    </row>
    <row r="129" spans="2:16" ht="15.75" thickBot="1" x14ac:dyDescent="0.3">
      <c r="B129" s="38" t="s">
        <v>1</v>
      </c>
      <c r="C129" s="16">
        <v>0</v>
      </c>
      <c r="D129" s="2">
        <v>1</v>
      </c>
      <c r="E129" s="2">
        <v>2</v>
      </c>
      <c r="F129" s="2">
        <v>3</v>
      </c>
      <c r="G129" s="2">
        <v>4</v>
      </c>
      <c r="H129" s="2">
        <v>5</v>
      </c>
      <c r="I129" s="2">
        <v>6</v>
      </c>
      <c r="J129" s="2">
        <v>7</v>
      </c>
      <c r="K129" s="2">
        <v>8</v>
      </c>
      <c r="L129" s="3">
        <v>9</v>
      </c>
      <c r="N129" s="113" t="s">
        <v>1</v>
      </c>
      <c r="O129" s="111" t="s">
        <v>33</v>
      </c>
      <c r="P129" s="112" t="s">
        <v>35</v>
      </c>
    </row>
    <row r="130" spans="2:16" x14ac:dyDescent="0.25">
      <c r="B130" s="37">
        <v>0</v>
      </c>
      <c r="C130" s="41"/>
      <c r="D130" s="20"/>
      <c r="E130" s="20"/>
      <c r="F130" s="20"/>
      <c r="G130" s="20"/>
      <c r="H130" s="20"/>
      <c r="I130" s="20"/>
      <c r="J130" s="20"/>
      <c r="K130" s="20"/>
      <c r="L130" s="21">
        <f ca="1">L116-L116</f>
        <v>0</v>
      </c>
      <c r="N130" s="105" t="s">
        <v>23</v>
      </c>
      <c r="O130" s="106">
        <f ca="1">L95*L110</f>
        <v>0</v>
      </c>
      <c r="P130" s="107">
        <f ca="1">L130</f>
        <v>0</v>
      </c>
    </row>
    <row r="131" spans="2:16" x14ac:dyDescent="0.25">
      <c r="B131" s="4">
        <v>1</v>
      </c>
      <c r="C131" s="34"/>
      <c r="D131" s="22"/>
      <c r="E131" s="22"/>
      <c r="F131" s="22"/>
      <c r="G131" s="22"/>
      <c r="H131" s="22"/>
      <c r="I131" s="22"/>
      <c r="J131" s="22"/>
      <c r="K131" s="22"/>
      <c r="L131" s="101">
        <f ca="1">L117-K117</f>
        <v>151.31417689337195</v>
      </c>
      <c r="N131" s="108" t="s">
        <v>24</v>
      </c>
      <c r="O131" s="109">
        <f ca="1">K96*K110</f>
        <v>151.31417689337167</v>
      </c>
      <c r="P131" s="110">
        <f ca="1">D139+E138+F137+G136+H135+I134+J133+K132+L131</f>
        <v>4459.6579437783266</v>
      </c>
    </row>
    <row r="132" spans="2:16" x14ac:dyDescent="0.25">
      <c r="B132" s="4">
        <v>2</v>
      </c>
      <c r="C132" s="34"/>
      <c r="D132" s="22"/>
      <c r="E132" s="22"/>
      <c r="F132" s="22"/>
      <c r="G132" s="22"/>
      <c r="H132" s="22"/>
      <c r="I132" s="22"/>
      <c r="J132" s="22"/>
      <c r="K132" s="102">
        <f ca="1">K118-J118</f>
        <v>339.36823948419988</v>
      </c>
      <c r="L132" s="101">
        <f ca="1">L118-K118</f>
        <v>139.83125620771807</v>
      </c>
      <c r="N132" s="108" t="s">
        <v>25</v>
      </c>
      <c r="O132" s="109">
        <f ca="1">J97*J110</f>
        <v>479.19949569191806</v>
      </c>
      <c r="P132" s="110">
        <f ca="1">E139+F138+G137+H136+I135+J134+K133+L132</f>
        <v>3883.603254011628</v>
      </c>
    </row>
    <row r="133" spans="2:16" x14ac:dyDescent="0.25">
      <c r="B133" s="4">
        <v>3</v>
      </c>
      <c r="C133" s="34"/>
      <c r="D133" s="22"/>
      <c r="E133" s="22"/>
      <c r="F133" s="22"/>
      <c r="G133" s="22"/>
      <c r="H133" s="22"/>
      <c r="I133" s="22"/>
      <c r="J133" s="102">
        <f ca="1">J119-I119</f>
        <v>295.76324556292548</v>
      </c>
      <c r="K133" s="102">
        <f t="shared" ref="K133:L133" ca="1" si="61">K119-J119</f>
        <v>410.4792381260022</v>
      </c>
      <c r="L133" s="101">
        <f t="shared" ca="1" si="61"/>
        <v>169.13140605492117</v>
      </c>
      <c r="N133" s="108" t="s">
        <v>26</v>
      </c>
      <c r="O133" s="109">
        <f ca="1">I98*I110</f>
        <v>875.37388974384885</v>
      </c>
      <c r="P133" s="110">
        <f ca="1">F139+G138+H137+I136+J135+K134+L133</f>
        <v>3014.3469264518385</v>
      </c>
    </row>
    <row r="134" spans="2:16" x14ac:dyDescent="0.25">
      <c r="B134" s="4">
        <v>4</v>
      </c>
      <c r="C134" s="34"/>
      <c r="D134" s="22"/>
      <c r="E134" s="22"/>
      <c r="F134" s="22"/>
      <c r="G134" s="22"/>
      <c r="H134" s="22"/>
      <c r="I134" s="102">
        <f ca="1">I120-H120</f>
        <v>287.11284867883614</v>
      </c>
      <c r="J134" s="102">
        <f t="shared" ref="J134:L134" ca="1" si="62">J120-I120</f>
        <v>223.38333478138156</v>
      </c>
      <c r="K134" s="102">
        <f t="shared" ca="1" si="62"/>
        <v>310.02574676439599</v>
      </c>
      <c r="L134" s="101">
        <f t="shared" ca="1" si="62"/>
        <v>127.74115130128348</v>
      </c>
      <c r="N134" s="108" t="s">
        <v>27</v>
      </c>
      <c r="O134" s="109">
        <f ca="1">H99*H110</f>
        <v>948.26308152589706</v>
      </c>
      <c r="P134" s="110">
        <f ca="1">G139+H138+I137+J136+K135+L134</f>
        <v>2185.5131935634913</v>
      </c>
    </row>
    <row r="135" spans="2:16" x14ac:dyDescent="0.25">
      <c r="B135" s="4">
        <v>5</v>
      </c>
      <c r="C135" s="34"/>
      <c r="D135" s="22"/>
      <c r="E135" s="22"/>
      <c r="F135" s="22"/>
      <c r="G135" s="22"/>
      <c r="H135" s="102">
        <f ca="1">H121-G121</f>
        <v>369.07337040969696</v>
      </c>
      <c r="I135" s="102">
        <f t="shared" ref="I135:L135" ca="1" si="63">I121-H121</f>
        <v>348.26937472990767</v>
      </c>
      <c r="J135" s="102">
        <f t="shared" ca="1" si="63"/>
        <v>270.96514380106191</v>
      </c>
      <c r="K135" s="102">
        <f t="shared" ca="1" si="63"/>
        <v>376.06283895913975</v>
      </c>
      <c r="L135" s="101">
        <f t="shared" ca="1" si="63"/>
        <v>154.95067913432558</v>
      </c>
      <c r="N135" s="108" t="s">
        <v>28</v>
      </c>
      <c r="O135" s="109">
        <f ca="1">G100*G110</f>
        <v>1519.3214070341317</v>
      </c>
      <c r="P135" s="110">
        <f ca="1">H139+I138+J137+K136+L135</f>
        <v>1749.5927382161535</v>
      </c>
    </row>
    <row r="136" spans="2:16" x14ac:dyDescent="0.25">
      <c r="B136" s="4">
        <v>6</v>
      </c>
      <c r="C136" s="34"/>
      <c r="D136" s="22"/>
      <c r="E136" s="22"/>
      <c r="F136" s="22"/>
      <c r="G136" s="102">
        <f ca="1">G122-F122</f>
        <v>488.40882524249628</v>
      </c>
      <c r="H136" s="102">
        <f t="shared" ref="H136:L136" ca="1" si="64">H122-G122</f>
        <v>398.72650747007356</v>
      </c>
      <c r="I136" s="102">
        <f t="shared" ca="1" si="64"/>
        <v>376.25101830211543</v>
      </c>
      <c r="J136" s="102">
        <f t="shared" ca="1" si="64"/>
        <v>292.73579211090373</v>
      </c>
      <c r="K136" s="102">
        <f t="shared" ca="1" si="64"/>
        <v>406.27754367920897</v>
      </c>
      <c r="L136" s="101">
        <f t="shared" ca="1" si="64"/>
        <v>167.40016504783944</v>
      </c>
      <c r="N136" s="108" t="s">
        <v>29</v>
      </c>
      <c r="O136" s="109">
        <f ca="1">F101*F110</f>
        <v>2129.7998518526374</v>
      </c>
      <c r="P136" s="110">
        <f ca="1">I139+J138+K137+L136</f>
        <v>1333.0257209474948</v>
      </c>
    </row>
    <row r="137" spans="2:16" x14ac:dyDescent="0.25">
      <c r="B137" s="4">
        <v>7</v>
      </c>
      <c r="C137" s="34"/>
      <c r="D137" s="22"/>
      <c r="E137" s="22"/>
      <c r="F137" s="102">
        <f ca="1">F123-E123</f>
        <v>842.93593610558037</v>
      </c>
      <c r="G137" s="102">
        <f t="shared" ref="G137:L137" ca="1" si="65">G123-F123</f>
        <v>483.04978423739203</v>
      </c>
      <c r="H137" s="102">
        <f t="shared" ca="1" si="65"/>
        <v>394.35150113743111</v>
      </c>
      <c r="I137" s="102">
        <f t="shared" ca="1" si="65"/>
        <v>372.1226231317537</v>
      </c>
      <c r="J137" s="102">
        <f t="shared" ca="1" si="65"/>
        <v>289.52376351415387</v>
      </c>
      <c r="K137" s="102">
        <f t="shared" ca="1" si="65"/>
        <v>401.81968398564277</v>
      </c>
      <c r="L137" s="101">
        <f t="shared" ca="1" si="65"/>
        <v>165.56337524719038</v>
      </c>
      <c r="N137" s="108" t="s">
        <v>30</v>
      </c>
      <c r="O137" s="109">
        <f ca="1">E102*E110</f>
        <v>2949.3666673591442</v>
      </c>
      <c r="P137" s="110">
        <f ca="1">J139+K138+L137</f>
        <v>1001.561191635074</v>
      </c>
    </row>
    <row r="138" spans="2:16" x14ac:dyDescent="0.25">
      <c r="B138" s="4">
        <v>8</v>
      </c>
      <c r="C138" s="34"/>
      <c r="D138" s="22"/>
      <c r="E138" s="102">
        <f ca="1">E124-D124</f>
        <v>1006.4192305451847</v>
      </c>
      <c r="F138" s="102">
        <f t="shared" ref="F138:L138" ca="1" si="66">F124-E124</f>
        <v>1154.0749827280583</v>
      </c>
      <c r="G138" s="102">
        <f t="shared" ca="1" si="66"/>
        <v>661.349988204483</v>
      </c>
      <c r="H138" s="102">
        <f t="shared" ca="1" si="66"/>
        <v>539.91197002065019</v>
      </c>
      <c r="I138" s="102">
        <f t="shared" ca="1" si="66"/>
        <v>509.47811271117462</v>
      </c>
      <c r="J138" s="102">
        <f t="shared" ca="1" si="66"/>
        <v>396.39089765311473</v>
      </c>
      <c r="K138" s="102">
        <f t="shared" ca="1" si="66"/>
        <v>550.13676009352366</v>
      </c>
      <c r="L138" s="101">
        <f t="shared" ca="1" si="66"/>
        <v>226.67505470411834</v>
      </c>
      <c r="N138" s="108" t="s">
        <v>31</v>
      </c>
      <c r="O138" s="109">
        <f ca="1">D103*D110</f>
        <v>5044.4369966603081</v>
      </c>
      <c r="P138" s="110">
        <f ca="1">K139+L138</f>
        <v>623.41139824224229</v>
      </c>
    </row>
    <row r="139" spans="2:16" ht="15.75" thickBot="1" x14ac:dyDescent="0.3">
      <c r="B139" s="11">
        <v>9</v>
      </c>
      <c r="C139" s="36"/>
      <c r="D139" s="84">
        <f ca="1">D125-C125</f>
        <v>679.26207085603505</v>
      </c>
      <c r="E139" s="84">
        <f t="shared" ref="E139:L139" ca="1" si="67">E125-D125</f>
        <v>725.78877573109435</v>
      </c>
      <c r="F139" s="84">
        <f t="shared" ca="1" si="67"/>
        <v>832.27212218743011</v>
      </c>
      <c r="G139" s="84">
        <f t="shared" ca="1" si="67"/>
        <v>476.93881803976046</v>
      </c>
      <c r="H139" s="84">
        <f t="shared" ca="1" si="67"/>
        <v>389.36263917729048</v>
      </c>
      <c r="I139" s="84">
        <f t="shared" ca="1" si="67"/>
        <v>367.41497426089791</v>
      </c>
      <c r="J139" s="84">
        <f t="shared" ca="1" si="67"/>
        <v>285.86105629435997</v>
      </c>
      <c r="K139" s="84">
        <f t="shared" ca="1" si="67"/>
        <v>396.73634353812395</v>
      </c>
      <c r="L139" s="104">
        <f t="shared" ca="1" si="67"/>
        <v>163.46886610399997</v>
      </c>
      <c r="N139" s="108" t="s">
        <v>32</v>
      </c>
      <c r="O139" s="109">
        <f ca="1">C104*C110</f>
        <v>4317.1056661889925</v>
      </c>
      <c r="P139" s="110">
        <f ca="1">L139</f>
        <v>163.46886610399997</v>
      </c>
    </row>
    <row r="140" spans="2:16" ht="15.75" thickBot="1" x14ac:dyDescent="0.3">
      <c r="N140" s="40" t="s">
        <v>37</v>
      </c>
      <c r="O140" s="114">
        <f ca="1">SUM(O130:O139)</f>
        <v>18414.18123295025</v>
      </c>
      <c r="P140" s="115">
        <f ca="1">SUM(P131:P139)</f>
        <v>18414.18123295025</v>
      </c>
    </row>
  </sheetData>
  <mergeCells count="25">
    <mergeCell ref="B3:L3"/>
    <mergeCell ref="B17:L17"/>
    <mergeCell ref="B22:L22"/>
    <mergeCell ref="B23:L23"/>
    <mergeCell ref="B37:L37"/>
    <mergeCell ref="B36:L36"/>
    <mergeCell ref="B50:L50"/>
    <mergeCell ref="B78:L78"/>
    <mergeCell ref="B51:L51"/>
    <mergeCell ref="N55:O55"/>
    <mergeCell ref="B64:L64"/>
    <mergeCell ref="B65:L65"/>
    <mergeCell ref="N64:Q64"/>
    <mergeCell ref="O23:Y23"/>
    <mergeCell ref="O22:Y22"/>
    <mergeCell ref="O18:Y18"/>
    <mergeCell ref="AA22:AK22"/>
    <mergeCell ref="AA23:AK23"/>
    <mergeCell ref="B127:L127"/>
    <mergeCell ref="B128:L128"/>
    <mergeCell ref="B114:L114"/>
    <mergeCell ref="B79:L79"/>
    <mergeCell ref="B92:L92"/>
    <mergeCell ref="B93:L93"/>
    <mergeCell ref="B107:L107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B1:AI33"/>
  <sheetViews>
    <sheetView tabSelected="1" zoomScale="115" zoomScaleNormal="115" workbookViewId="0">
      <selection activeCell="M7" sqref="M7:AI1048576"/>
    </sheetView>
  </sheetViews>
  <sheetFormatPr baseColWidth="10" defaultRowHeight="15" x14ac:dyDescent="0.25"/>
  <cols>
    <col min="2" max="2" width="13.42578125" bestFit="1" customWidth="1"/>
    <col min="3" max="3" width="13.7109375" bestFit="1" customWidth="1"/>
    <col min="4" max="4" width="10.7109375" bestFit="1" customWidth="1"/>
    <col min="7" max="7" width="14.7109375" bestFit="1" customWidth="1"/>
    <col min="8" max="8" width="15.85546875" bestFit="1" customWidth="1"/>
    <col min="9" max="10" width="10.140625" bestFit="1" customWidth="1"/>
  </cols>
  <sheetData>
    <row r="1" spans="2:35" ht="15.75" thickBot="1" x14ac:dyDescent="0.3"/>
    <row r="2" spans="2:35" ht="16.5" thickBot="1" x14ac:dyDescent="0.3">
      <c r="B2" s="137" t="s">
        <v>50</v>
      </c>
      <c r="C2" s="138">
        <v>5</v>
      </c>
    </row>
    <row r="4" spans="2:35" ht="15.75" thickBot="1" x14ac:dyDescent="0.3"/>
    <row r="5" spans="2:35" ht="16.5" thickBot="1" x14ac:dyDescent="0.3">
      <c r="C5" s="157" t="s">
        <v>53</v>
      </c>
      <c r="D5" s="157"/>
      <c r="G5" s="156" t="s">
        <v>55</v>
      </c>
      <c r="H5" s="156"/>
      <c r="I5" s="156"/>
      <c r="J5" s="156"/>
      <c r="M5" s="158" t="s">
        <v>60</v>
      </c>
      <c r="N5" s="159"/>
      <c r="O5" s="159"/>
      <c r="P5" s="159"/>
      <c r="Q5" s="159"/>
      <c r="R5" s="159"/>
      <c r="S5" s="159"/>
      <c r="T5" s="159"/>
      <c r="U5" s="159"/>
      <c r="V5" s="159"/>
      <c r="W5" s="160"/>
      <c r="Y5" s="158" t="s">
        <v>61</v>
      </c>
      <c r="Z5" s="159"/>
      <c r="AA5" s="159"/>
      <c r="AB5" s="159"/>
      <c r="AC5" s="159"/>
      <c r="AD5" s="159"/>
      <c r="AE5" s="159"/>
      <c r="AF5" s="159"/>
      <c r="AG5" s="159"/>
      <c r="AH5" s="159"/>
      <c r="AI5" s="160"/>
    </row>
    <row r="6" spans="2:35" ht="16.5" thickBot="1" x14ac:dyDescent="0.3">
      <c r="B6" s="35"/>
      <c r="C6" s="121" t="s">
        <v>51</v>
      </c>
      <c r="D6" s="121" t="s">
        <v>52</v>
      </c>
      <c r="E6" s="35"/>
      <c r="G6" s="125" t="s">
        <v>56</v>
      </c>
      <c r="H6" s="125" t="s">
        <v>57</v>
      </c>
      <c r="I6" s="125" t="s">
        <v>58</v>
      </c>
      <c r="J6" s="125" t="s">
        <v>59</v>
      </c>
      <c r="M6" s="134" t="s">
        <v>23</v>
      </c>
      <c r="N6" s="135" t="s">
        <v>24</v>
      </c>
      <c r="O6" s="135" t="s">
        <v>25</v>
      </c>
      <c r="P6" s="135" t="s">
        <v>26</v>
      </c>
      <c r="Q6" s="135" t="s">
        <v>27</v>
      </c>
      <c r="R6" s="135" t="s">
        <v>28</v>
      </c>
      <c r="S6" s="135" t="s">
        <v>29</v>
      </c>
      <c r="T6" s="135" t="s">
        <v>30</v>
      </c>
      <c r="U6" s="135" t="s">
        <v>31</v>
      </c>
      <c r="V6" s="136" t="s">
        <v>32</v>
      </c>
      <c r="W6" s="133" t="s">
        <v>54</v>
      </c>
      <c r="Y6" s="134" t="s">
        <v>23</v>
      </c>
      <c r="Z6" s="135" t="s">
        <v>24</v>
      </c>
      <c r="AA6" s="135" t="s">
        <v>25</v>
      </c>
      <c r="AB6" s="135" t="s">
        <v>26</v>
      </c>
      <c r="AC6" s="135" t="s">
        <v>27</v>
      </c>
      <c r="AD6" s="135" t="s">
        <v>28</v>
      </c>
      <c r="AE6" s="135" t="s">
        <v>29</v>
      </c>
      <c r="AF6" s="135" t="s">
        <v>30</v>
      </c>
      <c r="AG6" s="135" t="s">
        <v>31</v>
      </c>
      <c r="AH6" s="136" t="s">
        <v>32</v>
      </c>
      <c r="AI6" s="133" t="s">
        <v>54</v>
      </c>
    </row>
    <row r="7" spans="2:35" ht="16.5" thickTop="1" x14ac:dyDescent="0.25">
      <c r="B7" s="120" t="s">
        <v>23</v>
      </c>
      <c r="C7" s="122">
        <f>'Chain-Ladder'!P37</f>
        <v>0</v>
      </c>
      <c r="D7" s="122">
        <f ca="1">'Chain-Ladder'!O130</f>
        <v>0</v>
      </c>
      <c r="E7" s="35"/>
      <c r="G7" s="126">
        <f>AVERAGE(M:M)</f>
        <v>0</v>
      </c>
      <c r="H7" s="126">
        <f>_xlfn.STDEV.P(M:M)</f>
        <v>0</v>
      </c>
      <c r="I7" s="127">
        <f>PERCENTILE(M:M,0.05)</f>
        <v>0</v>
      </c>
      <c r="J7" s="127">
        <f>PERCENTILE(M:M,0.95)</f>
        <v>0</v>
      </c>
      <c r="M7">
        <v>0</v>
      </c>
      <c r="N7" s="35">
        <v>116.46045666482301</v>
      </c>
      <c r="O7" s="35">
        <v>488.58402825746896</v>
      </c>
      <c r="P7" s="35">
        <v>742.77716019657157</v>
      </c>
      <c r="Q7" s="35">
        <v>1022.8164028247998</v>
      </c>
      <c r="R7" s="35">
        <v>1449.3679160762301</v>
      </c>
      <c r="S7" s="35">
        <v>2293.3107415029958</v>
      </c>
      <c r="T7" s="35">
        <v>2650.333493388317</v>
      </c>
      <c r="U7" s="35">
        <v>2857.2014279722589</v>
      </c>
      <c r="V7" s="35">
        <v>4170.6095660821711</v>
      </c>
      <c r="W7" s="35">
        <v>12747.302662045668</v>
      </c>
      <c r="Y7" s="35">
        <v>0</v>
      </c>
      <c r="Z7">
        <v>4978.9572399417611</v>
      </c>
      <c r="AA7" s="35">
        <v>3758.4420992936957</v>
      </c>
      <c r="AB7" s="35">
        <v>2765.0904456666594</v>
      </c>
      <c r="AC7" s="35">
        <v>2476.7145222724826</v>
      </c>
      <c r="AD7" s="35">
        <v>1506.2374121544431</v>
      </c>
      <c r="AE7" s="35">
        <v>1320.8472919890814</v>
      </c>
      <c r="AF7" s="35">
        <v>780.00890321546694</v>
      </c>
      <c r="AG7" s="35">
        <v>554.66401898810409</v>
      </c>
      <c r="AH7" s="35">
        <v>11.239504874268277</v>
      </c>
      <c r="AI7" s="35">
        <v>18325.098446245189</v>
      </c>
    </row>
    <row r="8" spans="2:35" ht="15.75" x14ac:dyDescent="0.25">
      <c r="B8" s="120" t="s">
        <v>24</v>
      </c>
      <c r="C8" s="122">
        <f>'Chain-Ladder'!P38</f>
        <v>160.18130405854936</v>
      </c>
      <c r="D8" s="122">
        <f ca="1">'Chain-Ladder'!O131</f>
        <v>151.31417689337167</v>
      </c>
      <c r="E8" s="35"/>
      <c r="G8" s="128">
        <f>AVERAGE(N:N)</f>
        <v>141.25183143789718</v>
      </c>
      <c r="H8" s="128">
        <f>_xlfn.STDEV.P(N:N)</f>
        <v>54.381799516674391</v>
      </c>
      <c r="I8" s="129">
        <f>PERCENTILE(N:N,0.05)</f>
        <v>88.318824371465226</v>
      </c>
      <c r="J8" s="129">
        <f>PERCENTILE(N:N,0.95)</f>
        <v>212.44017309443856</v>
      </c>
      <c r="M8">
        <v>0</v>
      </c>
      <c r="N8" s="35">
        <v>89.36656175006749</v>
      </c>
      <c r="O8" s="35">
        <v>516.73852002106912</v>
      </c>
      <c r="P8" s="35">
        <v>716.78015998630235</v>
      </c>
      <c r="Q8" s="35">
        <v>1049.2421831324286</v>
      </c>
      <c r="R8" s="35">
        <v>1500.5341588008737</v>
      </c>
      <c r="S8" s="35">
        <v>2393.7077774428953</v>
      </c>
      <c r="T8" s="35">
        <v>3363.595279517036</v>
      </c>
      <c r="U8" s="35">
        <v>3702.1959541854476</v>
      </c>
      <c r="V8" s="35">
        <v>2832.2848775124608</v>
      </c>
      <c r="W8" s="35">
        <v>15176.003873627344</v>
      </c>
      <c r="Y8" s="35">
        <v>0</v>
      </c>
      <c r="Z8">
        <v>4518.3334842019731</v>
      </c>
      <c r="AA8" s="35">
        <v>3339.8469682963369</v>
      </c>
      <c r="AB8" s="35">
        <v>3077.6133012740047</v>
      </c>
      <c r="AC8" s="35">
        <v>2382.9857201315153</v>
      </c>
      <c r="AD8" s="35">
        <v>1765.9405770979802</v>
      </c>
      <c r="AE8" s="35">
        <v>1434.3906180274485</v>
      </c>
      <c r="AF8" s="35">
        <v>651.88473426915425</v>
      </c>
      <c r="AG8" s="35">
        <v>389.74537922793388</v>
      </c>
      <c r="AH8" s="35">
        <v>88.449559276384889</v>
      </c>
      <c r="AI8" s="35">
        <v>19995.175932723563</v>
      </c>
    </row>
    <row r="9" spans="2:35" ht="15.75" x14ac:dyDescent="0.25">
      <c r="B9" s="120" t="s">
        <v>25</v>
      </c>
      <c r="C9" s="122">
        <f>'Chain-Ladder'!P39</f>
        <v>526.69340923483105</v>
      </c>
      <c r="D9" s="122">
        <f ca="1">'Chain-Ladder'!O132</f>
        <v>479.19949569191806</v>
      </c>
      <c r="E9" s="35"/>
      <c r="G9" s="128">
        <f>AVERAGE(O:O)</f>
        <v>481.00646095795992</v>
      </c>
      <c r="H9" s="128">
        <f>_xlfn.STDEV.P(O:O)</f>
        <v>54.27898832832696</v>
      </c>
      <c r="I9" s="129">
        <f>PERCENTILE(O:O,0.05)</f>
        <v>397.88982474329509</v>
      </c>
      <c r="J9" s="129">
        <f>PERCENTILE(O:O,0.95)</f>
        <v>522.14944052752674</v>
      </c>
      <c r="M9">
        <v>0</v>
      </c>
      <c r="N9">
        <v>195.76670983964328</v>
      </c>
      <c r="O9">
        <v>375.21627386475166</v>
      </c>
      <c r="P9">
        <v>799.06104423395232</v>
      </c>
      <c r="Q9">
        <v>1185.6973001481815</v>
      </c>
      <c r="R9">
        <v>1584.5916172689444</v>
      </c>
      <c r="S9">
        <v>1970.264326802117</v>
      </c>
      <c r="T9">
        <v>3446.2865634803097</v>
      </c>
      <c r="U9">
        <v>3220.2080332092464</v>
      </c>
      <c r="V9">
        <v>5116.2175949934299</v>
      </c>
      <c r="W9">
        <v>15963.779504419796</v>
      </c>
      <c r="Y9">
        <v>0</v>
      </c>
      <c r="Z9">
        <v>4500.4725333928518</v>
      </c>
      <c r="AA9">
        <v>3650.3406069011953</v>
      </c>
      <c r="AB9">
        <v>2736.4156693039704</v>
      </c>
      <c r="AC9">
        <v>1967.6259262041349</v>
      </c>
      <c r="AD9">
        <v>1804.705476984595</v>
      </c>
      <c r="AE9">
        <v>953.93084075446382</v>
      </c>
      <c r="AF9">
        <v>659.88090882231654</v>
      </c>
      <c r="AG9">
        <v>575.5122486913574</v>
      </c>
      <c r="AH9">
        <v>157.07769737972467</v>
      </c>
      <c r="AI9">
        <v>14735.026568870875</v>
      </c>
    </row>
    <row r="10" spans="2:35" ht="15.75" x14ac:dyDescent="0.25">
      <c r="B10" s="120" t="s">
        <v>26</v>
      </c>
      <c r="C10" s="122">
        <f>'Chain-Ladder'!P40</f>
        <v>775.80867901639795</v>
      </c>
      <c r="D10" s="122">
        <f ca="1">'Chain-Ladder'!O133</f>
        <v>875.37388974384885</v>
      </c>
      <c r="E10" s="35"/>
      <c r="G10" s="128">
        <f>AVERAGE(P:P)</f>
        <v>710.61362527656661</v>
      </c>
      <c r="H10" s="128">
        <f>_xlfn.STDEV.P(P:P)</f>
        <v>59.91871126584735</v>
      </c>
      <c r="I10" s="129">
        <f>PERCENTILE(P:P,0.05)</f>
        <v>633.6781024056196</v>
      </c>
      <c r="J10" s="129">
        <f>PERCENTILE(P:P,0.95)</f>
        <v>787.80426742647614</v>
      </c>
      <c r="M10">
        <v>0</v>
      </c>
      <c r="N10">
        <v>216.60853890813738</v>
      </c>
      <c r="O10">
        <v>523.5021706541412</v>
      </c>
      <c r="P10">
        <v>669.8028452786433</v>
      </c>
      <c r="Q10">
        <v>1104.672944995817</v>
      </c>
      <c r="R10">
        <v>1379.9724377668467</v>
      </c>
      <c r="S10">
        <v>1971.4057707408961</v>
      </c>
      <c r="T10">
        <v>3478.2618241853975</v>
      </c>
      <c r="U10">
        <v>5435.4713105872124</v>
      </c>
      <c r="V10">
        <v>1133.3677956288939</v>
      </c>
      <c r="W10">
        <v>16745.996129113057</v>
      </c>
      <c r="Y10">
        <v>0</v>
      </c>
      <c r="Z10">
        <v>4561.2866682189733</v>
      </c>
      <c r="AA10">
        <v>3268.1690762026524</v>
      </c>
      <c r="AB10">
        <v>2519.899857024644</v>
      </c>
      <c r="AC10">
        <v>2124.0046987118521</v>
      </c>
      <c r="AD10">
        <v>2323.2151476039999</v>
      </c>
      <c r="AE10">
        <v>1551.9901637356288</v>
      </c>
      <c r="AF10">
        <v>784.17521058305829</v>
      </c>
      <c r="AG10">
        <v>251.42252998051185</v>
      </c>
      <c r="AH10">
        <v>69.584092160268483</v>
      </c>
      <c r="AI10">
        <v>15161.710175680519</v>
      </c>
    </row>
    <row r="11" spans="2:35" ht="15.75" x14ac:dyDescent="0.25">
      <c r="B11" s="120" t="s">
        <v>27</v>
      </c>
      <c r="C11" s="122">
        <f>'Chain-Ladder'!P41</f>
        <v>1018.0102109458999</v>
      </c>
      <c r="D11" s="122">
        <f ca="1">'Chain-Ladder'!O134</f>
        <v>948.26308152589706</v>
      </c>
      <c r="E11" s="35"/>
      <c r="G11" s="128">
        <f>AVERAGE(Q:Q)</f>
        <v>1138.6571197299127</v>
      </c>
      <c r="H11" s="128">
        <f>_xlfn.STDEV.P(Q:Q)</f>
        <v>111.10581434604548</v>
      </c>
      <c r="I11" s="129">
        <f>PERCENTILE(Q:Q,0.05)</f>
        <v>1028.1015588863256</v>
      </c>
      <c r="J11" s="129">
        <f>PERCENTILE(Q:Q,0.95)</f>
        <v>1301.8248740683057</v>
      </c>
      <c r="M11">
        <v>0</v>
      </c>
      <c r="N11">
        <v>88.056890026814656</v>
      </c>
      <c r="O11">
        <v>500.99131199236848</v>
      </c>
      <c r="P11">
        <v>624.64691668736361</v>
      </c>
      <c r="Q11">
        <v>1330.8567675483366</v>
      </c>
      <c r="R11">
        <v>1457.0644633804782</v>
      </c>
      <c r="S11">
        <v>1996.157994821933</v>
      </c>
      <c r="T11">
        <v>3054.2019335174477</v>
      </c>
      <c r="U11">
        <v>3667.5159905437467</v>
      </c>
      <c r="V11">
        <v>4591.9670657694151</v>
      </c>
      <c r="W11">
        <v>17968.470556134027</v>
      </c>
      <c r="Y11">
        <v>0</v>
      </c>
      <c r="Z11">
        <v>4076.4397463198338</v>
      </c>
      <c r="AA11">
        <v>4100.0337356995606</v>
      </c>
      <c r="AB11">
        <v>2429.1882048735415</v>
      </c>
      <c r="AC11">
        <v>2212.3667297088368</v>
      </c>
      <c r="AD11">
        <v>2022.4242620182245</v>
      </c>
      <c r="AE11">
        <v>1066.6650184656778</v>
      </c>
      <c r="AF11">
        <v>859.16592899263787</v>
      </c>
      <c r="AG11">
        <v>262.05620379901893</v>
      </c>
      <c r="AH11">
        <v>95.674617870311977</v>
      </c>
      <c r="AI11">
        <v>16812.785706418428</v>
      </c>
    </row>
    <row r="12" spans="2:35" ht="15.75" x14ac:dyDescent="0.25">
      <c r="B12" s="120" t="s">
        <v>28</v>
      </c>
      <c r="C12" s="122">
        <f>'Chain-Ladder'!P42</f>
        <v>1404.8240146353937</v>
      </c>
      <c r="D12" s="122">
        <f ca="1">'Chain-Ladder'!O135</f>
        <v>1519.3214070341317</v>
      </c>
      <c r="E12" s="35"/>
      <c r="G12" s="128">
        <f>AVERAGE(R:R)</f>
        <v>1474.3061186586747</v>
      </c>
      <c r="H12" s="128">
        <f>_xlfn.STDEV.P(R:R)</f>
        <v>67.333250729179937</v>
      </c>
      <c r="I12" s="129">
        <f>PERCENTILE(R:R,0.05)</f>
        <v>1393.8515334287233</v>
      </c>
      <c r="J12" s="129">
        <f>PERCENTILE(R:R,0.95)</f>
        <v>1567.7801255753302</v>
      </c>
    </row>
    <row r="13" spans="2:35" ht="15.75" x14ac:dyDescent="0.25">
      <c r="B13" s="120" t="s">
        <v>29</v>
      </c>
      <c r="C13" s="122">
        <f>'Chain-Ladder'!P43</f>
        <v>2041.1633125100661</v>
      </c>
      <c r="D13" s="122">
        <f ca="1">'Chain-Ladder'!O136</f>
        <v>2129.7998518526374</v>
      </c>
      <c r="E13" s="35"/>
      <c r="G13" s="128">
        <f>AVERAGE(S:S)</f>
        <v>2124.9693222621672</v>
      </c>
      <c r="H13" s="128">
        <f>_xlfn.STDEV.P(S:S)</f>
        <v>181.47558997175136</v>
      </c>
      <c r="I13" s="129">
        <f>PERCENTILE(S:S,0.05)</f>
        <v>1970.4926155898729</v>
      </c>
      <c r="J13" s="129">
        <f>PERCENTILE(S:S,0.95)</f>
        <v>2373.6283702549154</v>
      </c>
    </row>
    <row r="14" spans="2:35" ht="15.75" x14ac:dyDescent="0.25">
      <c r="B14" s="120" t="s">
        <v>30</v>
      </c>
      <c r="C14" s="122">
        <f>'Chain-Ladder'!P44</f>
        <v>3419.186118805068</v>
      </c>
      <c r="D14" s="122">
        <f ca="1">'Chain-Ladder'!O137</f>
        <v>2949.3666673591442</v>
      </c>
      <c r="E14" s="35"/>
      <c r="G14" s="128">
        <f>AVERAGE(T:T)</f>
        <v>3198.535818817702</v>
      </c>
      <c r="H14" s="128">
        <f>_xlfn.STDEV.P(T:T)</f>
        <v>312.48352122256046</v>
      </c>
      <c r="I14" s="129">
        <f>PERCENTILE(T:T,0.05)</f>
        <v>2731.1071814141433</v>
      </c>
      <c r="J14" s="129">
        <f>PERCENTILE(T:T,0.95)</f>
        <v>3471.86677204438</v>
      </c>
    </row>
    <row r="15" spans="2:35" ht="15.75" x14ac:dyDescent="0.25">
      <c r="B15" s="120" t="s">
        <v>31</v>
      </c>
      <c r="C15" s="122">
        <f>'Chain-Ladder'!P45</f>
        <v>3575.3347051024393</v>
      </c>
      <c r="D15" s="122">
        <f ca="1">'Chain-Ladder'!O138</f>
        <v>5044.4369966603081</v>
      </c>
      <c r="E15" s="35"/>
      <c r="G15" s="128">
        <f>AVERAGE(U:U)</f>
        <v>3776.5185432995831</v>
      </c>
      <c r="H15" s="128">
        <f>_xlfn.STDEV.P(U:U)</f>
        <v>885.90688337114682</v>
      </c>
      <c r="I15" s="129">
        <f>PERCENTILE(U:U,0.05)</f>
        <v>2929.8027490196564</v>
      </c>
      <c r="J15" s="129">
        <f>PERCENTILE(U:U,0.95)</f>
        <v>5088.8162393068596</v>
      </c>
    </row>
    <row r="16" spans="2:35" ht="15.75" x14ac:dyDescent="0.25">
      <c r="B16" s="120" t="s">
        <v>32</v>
      </c>
      <c r="C16" s="122">
        <f>'Chain-Ladder'!P46</f>
        <v>3749.4568927795181</v>
      </c>
      <c r="D16" s="122">
        <f ca="1">'Chain-Ladder'!O139</f>
        <v>4317.1056661889925</v>
      </c>
      <c r="E16" s="35"/>
      <c r="G16" s="128">
        <f>AVERAGE(V:V)</f>
        <v>3568.8893799972743</v>
      </c>
      <c r="H16" s="128">
        <f>_xlfn.STDEV.P(V:V)</f>
        <v>1433.6897376626005</v>
      </c>
      <c r="I16" s="129">
        <f>PERCENTILE(V:V,0.05)</f>
        <v>1473.1512120056072</v>
      </c>
      <c r="J16" s="129">
        <f>PERCENTILE(V:V,0.95)</f>
        <v>5011.3674891486271</v>
      </c>
    </row>
    <row r="17" spans="2:10" ht="16.5" thickBot="1" x14ac:dyDescent="0.3">
      <c r="B17" s="119" t="s">
        <v>54</v>
      </c>
      <c r="C17" s="123">
        <f>SUM(C7:C16)</f>
        <v>16670.658647088163</v>
      </c>
      <c r="D17" s="124">
        <f ca="1">SUM(D7:D16)</f>
        <v>18414.18123295025</v>
      </c>
      <c r="E17" s="35"/>
      <c r="G17" s="130">
        <f>AVERAGE(W:W)</f>
        <v>15720.310545067978</v>
      </c>
      <c r="H17" s="130">
        <f>_xlfn.STDEV.P(W:W)</f>
        <v>1749.3185594356278</v>
      </c>
      <c r="I17" s="131">
        <f>PERCENTILE(W:W,0.05)</f>
        <v>13233.042904362002</v>
      </c>
      <c r="J17" s="131">
        <f>PERCENTILE(W:W,0.95)</f>
        <v>17723.975670729833</v>
      </c>
    </row>
    <row r="18" spans="2:10" ht="15.75" thickTop="1" x14ac:dyDescent="0.25">
      <c r="B18" s="35"/>
      <c r="C18" s="35"/>
      <c r="D18" s="35"/>
      <c r="E18" s="35"/>
      <c r="F18" s="35"/>
      <c r="G18" s="35"/>
      <c r="H18" s="35"/>
      <c r="I18" s="35"/>
    </row>
    <row r="19" spans="2:10" x14ac:dyDescent="0.25">
      <c r="B19" s="35"/>
      <c r="C19" s="35"/>
      <c r="D19" s="35"/>
      <c r="E19" s="35"/>
      <c r="F19" s="35"/>
      <c r="G19" s="35"/>
      <c r="H19" s="35"/>
      <c r="I19" s="35"/>
    </row>
    <row r="20" spans="2:10" ht="15.75" x14ac:dyDescent="0.25">
      <c r="B20" s="35"/>
      <c r="C20" s="132" t="s">
        <v>35</v>
      </c>
      <c r="D20" s="132"/>
      <c r="E20" s="35"/>
      <c r="G20" s="156" t="s">
        <v>55</v>
      </c>
      <c r="H20" s="156"/>
      <c r="I20" s="156"/>
      <c r="J20" s="156"/>
    </row>
    <row r="21" spans="2:10" ht="16.5" thickBot="1" x14ac:dyDescent="0.3">
      <c r="B21" s="35"/>
      <c r="C21" s="121" t="s">
        <v>51</v>
      </c>
      <c r="D21" s="121" t="s">
        <v>52</v>
      </c>
      <c r="E21" s="35"/>
      <c r="G21" s="125" t="s">
        <v>56</v>
      </c>
      <c r="H21" s="125" t="s">
        <v>57</v>
      </c>
      <c r="I21" s="125" t="s">
        <v>58</v>
      </c>
      <c r="J21" s="125" t="s">
        <v>59</v>
      </c>
    </row>
    <row r="22" spans="2:10" ht="16.5" thickTop="1" x14ac:dyDescent="0.25">
      <c r="B22" s="120" t="s">
        <v>23</v>
      </c>
      <c r="C22" s="122">
        <f>'Chain-Ladder'!Q37</f>
        <v>0</v>
      </c>
      <c r="D22" s="122">
        <f ca="1">'Chain-Ladder'!P130</f>
        <v>0</v>
      </c>
      <c r="E22" s="35"/>
      <c r="G22" s="126">
        <f>AVERAGE(Y:Y)</f>
        <v>0</v>
      </c>
      <c r="H22" s="126">
        <f>_xlfn.STDEV.P(Y:Y)</f>
        <v>0</v>
      </c>
      <c r="I22" s="127">
        <f>PERCENTILE(Y:Y,0.05)</f>
        <v>0</v>
      </c>
      <c r="J22" s="127">
        <f>PERCENTILE(Y:Y,0.95)</f>
        <v>0</v>
      </c>
    </row>
    <row r="23" spans="2:10" ht="15.75" x14ac:dyDescent="0.25">
      <c r="B23" s="120" t="s">
        <v>24</v>
      </c>
      <c r="C23" s="122">
        <f>'Chain-Ladder'!Q38</f>
        <v>4210.7700966042867</v>
      </c>
      <c r="D23" s="122">
        <f ca="1">'Chain-Ladder'!P131</f>
        <v>4459.6579437783266</v>
      </c>
      <c r="E23" s="35"/>
      <c r="G23" s="128">
        <f>AVERAGE(Z:Z)</f>
        <v>4527.0979344150783</v>
      </c>
      <c r="H23" s="128">
        <f>_xlfn.STDEV.P(Z:Z)</f>
        <v>286.08538291027412</v>
      </c>
      <c r="I23" s="129">
        <f>PERCENTILE(Z:Z,0.05)</f>
        <v>4161.2463037344378</v>
      </c>
      <c r="J23" s="129">
        <f>PERCENTILE(Z:Z,0.95)</f>
        <v>4895.4231255972036</v>
      </c>
    </row>
    <row r="24" spans="2:10" ht="15.75" x14ac:dyDescent="0.25">
      <c r="B24" s="120" t="s">
        <v>25</v>
      </c>
      <c r="C24" s="122">
        <f>'Chain-Ladder'!Q39</f>
        <v>3484.6765593253954</v>
      </c>
      <c r="D24" s="122">
        <f ca="1">'Chain-Ladder'!P132</f>
        <v>3883.603254011628</v>
      </c>
      <c r="E24" s="35"/>
      <c r="G24" s="128">
        <f>AVERAGE(AA:AA)</f>
        <v>3623.3664972786878</v>
      </c>
      <c r="H24" s="128">
        <f>_xlfn.STDEV.P(AA:AA)</f>
        <v>300.90969020184963</v>
      </c>
      <c r="I24" s="129">
        <f>PERCENTILE(AA:AA,0.05)</f>
        <v>3282.5046546213894</v>
      </c>
      <c r="J24" s="129">
        <f>PERCENTILE(AA:AA,0.95)</f>
        <v>4031.7154084183876</v>
      </c>
    </row>
    <row r="25" spans="2:10" ht="15.75" x14ac:dyDescent="0.25">
      <c r="B25" s="120" t="s">
        <v>26</v>
      </c>
      <c r="C25" s="122">
        <f>'Chain-Ladder'!Q40</f>
        <v>2734.0647373790307</v>
      </c>
      <c r="D25" s="122">
        <f ca="1">'Chain-Ladder'!P133</f>
        <v>3014.3469264518385</v>
      </c>
      <c r="E25" s="35"/>
      <c r="G25" s="128">
        <f>AVERAGE(AB:AB)</f>
        <v>2705.6414956285639</v>
      </c>
      <c r="H25" s="128">
        <f>_xlfn.STDEV.P(AB:AB)</f>
        <v>225.28676388182055</v>
      </c>
      <c r="I25" s="129">
        <f>PERCENTILE(AB:AB,0.05)</f>
        <v>2447.3305353037622</v>
      </c>
      <c r="J25" s="129">
        <f>PERCENTILE(AB:AB,0.95)</f>
        <v>3015.1087301525358</v>
      </c>
    </row>
    <row r="26" spans="2:10" ht="15.75" x14ac:dyDescent="0.25">
      <c r="B26" s="120" t="s">
        <v>27</v>
      </c>
      <c r="C26" s="122">
        <f>'Chain-Ladder'!Q41</f>
        <v>1991.4327502883129</v>
      </c>
      <c r="D26" s="122">
        <f ca="1">'Chain-Ladder'!P134</f>
        <v>2185.5131935634913</v>
      </c>
      <c r="E26" s="35"/>
      <c r="G26" s="128">
        <f>AVERAGE(AC:AC)</f>
        <v>2232.7395194057644</v>
      </c>
      <c r="H26" s="128">
        <f>_xlfn.STDEV.P(AC:AC)</f>
        <v>181.45040752116782</v>
      </c>
      <c r="I26" s="129">
        <f>PERCENTILE(AC:AC,0.05)</f>
        <v>1998.9016807056782</v>
      </c>
      <c r="J26" s="129">
        <f>PERCENTILE(AC:AC,0.95)</f>
        <v>2457.968761844289</v>
      </c>
    </row>
    <row r="27" spans="2:10" ht="15.75" x14ac:dyDescent="0.25">
      <c r="B27" s="120" t="s">
        <v>28</v>
      </c>
      <c r="C27" s="122">
        <f>'Chain-Ladder'!Q42</f>
        <v>1548.6542932515595</v>
      </c>
      <c r="D27" s="122">
        <f ca="1">'Chain-Ladder'!P135</f>
        <v>1749.5927382161535</v>
      </c>
      <c r="E27" s="35"/>
      <c r="G27" s="128">
        <f>AVERAGE(AD:AD)</f>
        <v>1884.5045751718485</v>
      </c>
      <c r="H27" s="128">
        <f>_xlfn.STDEV.P(AD:AD)</f>
        <v>273.86134108762053</v>
      </c>
      <c r="I27" s="129">
        <f>PERCENTILE(AD:AD,0.05)</f>
        <v>1558.1780451431505</v>
      </c>
      <c r="J27" s="129">
        <f>PERCENTILE(AD:AD,0.95)</f>
        <v>2263.0569704868449</v>
      </c>
    </row>
    <row r="28" spans="2:10" ht="15.75" x14ac:dyDescent="0.25">
      <c r="B28" s="120" t="s">
        <v>29</v>
      </c>
      <c r="C28" s="122">
        <f>'Chain-Ladder'!Q43</f>
        <v>1219.2253849817375</v>
      </c>
      <c r="D28" s="122">
        <f ca="1">'Chain-Ladder'!P136</f>
        <v>1333.0257209474948</v>
      </c>
      <c r="E28" s="35"/>
      <c r="G28" s="128">
        <f>AVERAGE(AE:AE)</f>
        <v>1265.56478659446</v>
      </c>
      <c r="H28" s="128">
        <f>_xlfn.STDEV.P(AE:AE)</f>
        <v>223.72959008307214</v>
      </c>
      <c r="I28" s="129">
        <f>PERCENTILE(AE:AE,0.05)</f>
        <v>976.47767629670659</v>
      </c>
      <c r="J28" s="129">
        <f>PERCENTILE(AE:AE,0.95)</f>
        <v>1528.4702545939926</v>
      </c>
    </row>
    <row r="29" spans="2:10" ht="15.75" x14ac:dyDescent="0.25">
      <c r="B29" s="120" t="s">
        <v>30</v>
      </c>
      <c r="C29" s="122">
        <f>'Chain-Ladder'!Q44</f>
        <v>827.96434070555961</v>
      </c>
      <c r="D29" s="122">
        <f ca="1">'Chain-Ladder'!P137</f>
        <v>1001.561191635074</v>
      </c>
      <c r="E29" s="35"/>
      <c r="G29" s="128">
        <f>AVERAGE(AF:AF)</f>
        <v>747.0231371765268</v>
      </c>
      <c r="H29" s="128">
        <f>_xlfn.STDEV.P(AF:AF)</f>
        <v>79.610836883171174</v>
      </c>
      <c r="I29" s="129">
        <f>PERCENTILE(AF:AF,0.05)</f>
        <v>653.48396917978675</v>
      </c>
      <c r="J29" s="129">
        <f>PERCENTILE(AF:AF,0.95)</f>
        <v>844.16778531072191</v>
      </c>
    </row>
    <row r="30" spans="2:10" ht="15.75" x14ac:dyDescent="0.25">
      <c r="B30" s="120" t="s">
        <v>31</v>
      </c>
      <c r="C30" s="122">
        <f>'Chain-Ladder'!Q45</f>
        <v>507.12824082602583</v>
      </c>
      <c r="D30" s="122">
        <f ca="1">'Chain-Ladder'!P138</f>
        <v>623.41139824224229</v>
      </c>
      <c r="E30" s="35"/>
      <c r="G30" s="128">
        <f>AVERAGE(AG:AG)</f>
        <v>406.68007613738524</v>
      </c>
      <c r="H30" s="128">
        <f>_xlfn.STDEV.P(AG:AG)</f>
        <v>138.35555925162652</v>
      </c>
      <c r="I30" s="129">
        <f>PERCENTILE(AG:AG,0.05)</f>
        <v>253.54926474421327</v>
      </c>
      <c r="J30" s="129">
        <f>PERCENTILE(AG:AG,0.95)</f>
        <v>571.34260275070676</v>
      </c>
    </row>
    <row r="31" spans="2:10" ht="15.75" x14ac:dyDescent="0.25">
      <c r="B31" s="120" t="s">
        <v>32</v>
      </c>
      <c r="C31" s="122">
        <f>'Chain-Ladder'!Q46</f>
        <v>146.74224372625577</v>
      </c>
      <c r="D31" s="122">
        <f ca="1">'Chain-Ladder'!P139</f>
        <v>163.46886610399997</v>
      </c>
      <c r="E31" s="35"/>
      <c r="G31" s="128">
        <f>AVERAGE(AH:AH)</f>
        <v>84.405094312191665</v>
      </c>
      <c r="H31" s="128">
        <f>_xlfn.STDEV.P(AH:AH)</f>
        <v>46.898896953491139</v>
      </c>
      <c r="I31" s="129">
        <f>PERCENTILE(AH:AH,0.05)</f>
        <v>22.908422331468316</v>
      </c>
      <c r="J31" s="129">
        <f>PERCENTILE(AH:AH,0.95)</f>
        <v>144.79708147784211</v>
      </c>
    </row>
    <row r="32" spans="2:10" ht="16.5" thickBot="1" x14ac:dyDescent="0.3">
      <c r="B32" s="119" t="s">
        <v>54</v>
      </c>
      <c r="C32" s="123">
        <f>SUM(C22:C31)</f>
        <v>16670.658647088159</v>
      </c>
      <c r="D32" s="124">
        <f ca="1">SUM(D22:D31)</f>
        <v>18414.18123295025</v>
      </c>
      <c r="E32" s="35"/>
      <c r="G32" s="130">
        <f>AVERAGE(AI:AI)</f>
        <v>17005.959365987714</v>
      </c>
      <c r="H32" s="130">
        <f>_xlfn.STDEV.P(AI:AI)</f>
        <v>1963.2244142548648</v>
      </c>
      <c r="I32" s="131">
        <f>PERCENTILE(AI:AI,0.05)</f>
        <v>14820.363290232805</v>
      </c>
      <c r="J32" s="131">
        <f>PERCENTILE(AI:AI,0.95)</f>
        <v>19661.16043542789</v>
      </c>
    </row>
    <row r="33" ht="15.75" thickTop="1" x14ac:dyDescent="0.25"/>
  </sheetData>
  <mergeCells count="5">
    <mergeCell ref="G20:J20"/>
    <mergeCell ref="C5:D5"/>
    <mergeCell ref="Y5:AI5"/>
    <mergeCell ref="M5:W5"/>
    <mergeCell ref="G5:J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muestreo">
                <anchor moveWithCells="1" sizeWithCells="1">
                  <from>
                    <xdr:col>4</xdr:col>
                    <xdr:colOff>28575</xdr:colOff>
                    <xdr:row>0</xdr:row>
                    <xdr:rowOff>57150</xdr:rowOff>
                  </from>
                  <to>
                    <xdr:col>5</xdr:col>
                    <xdr:colOff>752475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Chain-Ladder</vt:lpstr>
      <vt:lpstr>BootStrap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2022-11-03T21:58:56Z</dcterms:modified>
</cp:coreProperties>
</file>